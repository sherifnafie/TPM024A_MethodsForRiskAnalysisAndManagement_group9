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OPA" sheetId="1" r:id="rId4"/>
    <sheet state="visible" name="Assumptions" sheetId="2" r:id="rId5"/>
    <sheet state="visible" name="Summary" sheetId="3" r:id="rId6"/>
  </sheets>
  <definedNames/>
  <calcPr/>
  <extLst>
    <ext uri="GoogleSheetsCustomDataVersion2">
      <go:sheetsCustomData xmlns:go="http://customooxmlschemas.google.com/" r:id="rId7" roundtripDataChecksum="InYP0tSR8ywvkvuQVTZtK3silU5qLeEI/iBRqGCU2vI="/>
    </ext>
  </extLst>
</workbook>
</file>

<file path=xl/sharedStrings.xml><?xml version="1.0" encoding="utf-8"?>
<sst xmlns="http://schemas.openxmlformats.org/spreadsheetml/2006/main" count="194" uniqueCount="167">
  <si>
    <t>Amazon MK30 Drone Fleet LOPA Screening Sheet — Per Flight Hour Basis</t>
  </si>
  <si>
    <t>Screening-level LOPA prepared for an academic Amazon MK30-type drone fleet case. Initiating event frequencies expressed per flight hour and derived from the FMEA occurrence score using the UAS system failure-rate anchor from Blom et al. (2021): 3.42E-4 per flight hour for mini-UAS loss of coordinated flight in an urban setting. IPL PFD values remain dimensionless and are assigned by IPL category. The values are screening assumptions, not measured MK30 reliability data.</t>
  </si>
  <si>
    <t>Scenario ID</t>
  </si>
  <si>
    <t>FTA area</t>
  </si>
  <si>
    <t>FMEA No.</t>
  </si>
  <si>
    <t>Hazardous event / failure mode</t>
  </si>
  <si>
    <t>Initiating cause(s) from FMEA / FTA</t>
  </si>
  <si>
    <t>Consequence</t>
  </si>
  <si>
    <t>Severity (S)</t>
  </si>
  <si>
    <t>Occurrence (O)</t>
  </si>
  <si>
    <t>RPN</t>
  </si>
  <si>
    <t>Initial frequency class</t>
  </si>
  <si>
    <t>Initiating frequency λ_init [/flight h]</t>
  </si>
  <si>
    <t>Conditional modifier</t>
  </si>
  <si>
    <t>IPL 1</t>
  </si>
  <si>
    <t>IPL 1 category</t>
  </si>
  <si>
    <t>IPL 1 PFD</t>
  </si>
  <si>
    <t>IPL 2</t>
  </si>
  <si>
    <t>IPL 2 category</t>
  </si>
  <si>
    <t>IPL 2 PFD</t>
  </si>
  <si>
    <t>Residual frequency λ_res [/flight h]</t>
  </si>
  <si>
    <t>Risk reduction factor</t>
  </si>
  <si>
    <t>Decision</t>
  </si>
  <si>
    <t>Independence / notes</t>
  </si>
  <si>
    <t>LOPA-1</t>
  </si>
  <si>
    <t>Safety &amp; Emergency Management</t>
  </si>
  <si>
    <t>2.5.3</t>
  </si>
  <si>
    <t>Unsafe drones not grounded</t>
  </si>
  <si>
    <t>Failure to detect propulsion or battery faults; delayed telemetry updates; operator overload during simultaneous incidents</t>
  </si>
  <si>
    <t>Single faulty drone continues operation and affects the fleet mission or creates crash risk.</t>
  </si>
  <si>
    <t>Pre-flight health authorization gate</t>
  </si>
  <si>
    <t>Engineered system</t>
  </si>
  <si>
    <t>Automatic drone quarantine and mission-allocation lockout</t>
  </si>
  <si>
    <t>MK30-style health monitoring is used as the basis for the health gate. The quarantine/lockout is treated as a fleet-management assumption and should be independent of stale telemetry where possible.</t>
  </si>
  <si>
    <t>LOPA-2</t>
  </si>
  <si>
    <t>Fleet Coordination &amp; Traffic Management</t>
  </si>
  <si>
    <t>2.2.3</t>
  </si>
  <si>
    <t>Minimum separation distance violated</t>
  </si>
  <si>
    <t>Loss of GPS signal; telemetry latency; high-density drone operations in constrained urban airspace</t>
  </si>
  <si>
    <t>Increasing near mid-air collision probability, emergency manoeuvres and potential cascading ground impact events.</t>
  </si>
  <si>
    <t>Onboard detect-and-avoid system</t>
  </si>
  <si>
    <t>Independent onboard safety function / hardware interlock</t>
  </si>
  <si>
    <t>Fleet density cap and uncertainty-based separation buffer</t>
  </si>
  <si>
    <t>Detect-and-avoid is consistent with public MK30 information. Fleet density caps and uncertainty buffers are academic fleet-control assumptions that reduce conflict demand before avoidance is needed.</t>
  </si>
  <si>
    <t>LOPA-3</t>
  </si>
  <si>
    <t>2.5.2</t>
  </si>
  <si>
    <t>Return-to-home triggered incorrectly</t>
  </si>
  <si>
    <t>GPS signal degradation; incorrect geofence boundary detection; corrupted navigation inputs</t>
  </si>
  <si>
    <t>Drone returns or lands unnecessarily, possibly through a high-risk corridor, increasing fleet congestion and battery use.</t>
  </si>
  <si>
    <t>Independent RTH trigger validation</t>
  </si>
  <si>
    <t>RTH route risk / deconfliction check</t>
  </si>
  <si>
    <t>Validation should not rely only on the same GPS/geofence input that caused the false RTH trigger. This is aligned with the MK30 assumption of monitoring/backup control before safe return or contingency actions.</t>
  </si>
  <si>
    <t>LOPA-4</t>
  </si>
  <si>
    <t>2.2.1</t>
  </si>
  <si>
    <t>Airspace conflict not detected</t>
  </si>
  <si>
    <t>Delayed telemetry transmission; GPS positioning inaccuracies; communication loss from RF interference</t>
  </si>
  <si>
    <t>Two or more drones may converge or conflict with crewed aviation/obstacles, requiring emergency avoidance or causing mid-air collision.</t>
  </si>
  <si>
    <t>Fleet-level conflict-checking software</t>
  </si>
  <si>
    <t>Fleet-level conflict checking is an academic fleet-management assumption. Onboard detect-and-avoid is consistent with public MK30 architecture information and should be independent from the route planner.</t>
  </si>
  <si>
    <t>LOPA-5</t>
  </si>
  <si>
    <t>Operator Control Interface</t>
  </si>
  <si>
    <t>2.6.3</t>
  </si>
  <si>
    <t>Critical alert not displayed</t>
  </si>
  <si>
    <t>Monitoring system overload; telemetry packet loss; software interface synchronization failure</t>
  </si>
  <si>
    <t>Delaying risk-reduction actions and possible human oversight.</t>
  </si>
  <si>
    <t>Independent critical-alert / escalation channel</t>
  </si>
  <si>
    <t>Automatic onboard safety action if alert response is unavailable</t>
  </si>
  <si>
    <t>For an MK30-type fleet, weak human response is not credited as a primary IPL; the stronger mitigation is automatic onboard safe action if monitoring or alert response is delayed.</t>
  </si>
  <si>
    <t>LOPA-6</t>
  </si>
  <si>
    <t>2.5.1</t>
  </si>
  <si>
    <t>Emergency landing command not executed</t>
  </si>
  <si>
    <t>Communication link failure; processor overload during emergency coordination; software synchronization conflict</t>
  </si>
  <si>
    <t>Drone in critical state does not transition to controlled emergency landing, leading to uncontrolled descent or collision.</t>
  </si>
  <si>
    <t>Onboard Safe Contingent Landing controller</t>
  </si>
  <si>
    <t>Backup controller triggered by independent monitoring computer</t>
  </si>
  <si>
    <t>This scenario is adapted to public MK30 safety descriptions: local Safe Contingent Landing and backup control are credited instead of relying on an external emergency C2 channel.</t>
  </si>
  <si>
    <t>LOPA-7</t>
  </si>
  <si>
    <t>Propulsion System</t>
  </si>
  <si>
    <t>1.1.1</t>
  </si>
  <si>
    <t>Motor seizure or complete loss of thrust</t>
  </si>
  <si>
    <t>Wind gust overload; debris ingestion in urban environment; overheating during prolonged hovering caused by congestion/rerouting</t>
  </si>
  <si>
    <t>Loss of stability, uncontrolled descent, drone crash.</t>
  </si>
  <si>
    <t>Pre-flight propulsion health check</t>
  </si>
  <si>
    <t>Onboard emergency stabilization and safe-landing logic</t>
  </si>
  <si>
    <t>The propulsion health check reduces unsafe launch probability, while onboard stabilization/safe landing is consistent with an MK30-style redundant onboard safety response to in-flight faults.</t>
  </si>
  <si>
    <t>LOPA-8</t>
  </si>
  <si>
    <t>1.1.2</t>
  </si>
  <si>
    <t>Propeller fracture during flight</t>
  </si>
  <si>
    <t>Bird strike; collision with urban infrastructure; fatigue from turbulent operation</t>
  </si>
  <si>
    <t>Severe imbalance, loss of control, mid-air crash.</t>
  </si>
  <si>
    <t>Routine propeller inspection / replacement schedule</t>
  </si>
  <si>
    <t>Administrative / procedural</t>
  </si>
  <si>
    <t>Onboard vibration or imbalance detection with safe-landing response</t>
  </si>
  <si>
    <t>Routine inspection remains an administrative prevention layer. Vibration/imbalance detection with safe-landing response is treated as an onboard fail-safe assumption for the MK30 case.</t>
  </si>
  <si>
    <t>LOPA Assumptions — per flight hour basis</t>
  </si>
  <si>
    <t>FMEA occurrence range</t>
  </si>
  <si>
    <t>Frequency class</t>
  </si>
  <si>
    <t>Interpretation</t>
  </si>
  <si>
    <t>1–2</t>
  </si>
  <si>
    <t>Very rare</t>
  </si>
  <si>
    <t>Two orders of magnitude below the adopted UAS system failure-rate anchor.</t>
  </si>
  <si>
    <t>3–4</t>
  </si>
  <si>
    <t>Unlikely</t>
  </si>
  <si>
    <t>One order of magnitude below the adopted UAS system failure-rate anchor.</t>
  </si>
  <si>
    <t>5–6</t>
  </si>
  <si>
    <t>Occasional</t>
  </si>
  <si>
    <t>Anchor band: Blom et al. (2021) adopted 3.42E-4 per flight hour for mini-UAS loss of coordinated flight over an urban area.</t>
  </si>
  <si>
    <t>7–8</t>
  </si>
  <si>
    <t>Frequent</t>
  </si>
  <si>
    <t>One order of magnitude above the adopted UAS system failure-rate anchor.</t>
  </si>
  <si>
    <t>9–10</t>
  </si>
  <si>
    <t>Likely</t>
  </si>
  <si>
    <t>Two orders of magnitude above the adopted UAS system failure-rate anchor.</t>
  </si>
  <si>
    <t>IPL category</t>
  </si>
  <si>
    <t>Assigned PFD</t>
  </si>
  <si>
    <t>Use in this sheet</t>
  </si>
  <si>
    <t>Comment</t>
  </si>
  <si>
    <t>Default automatic software/control barrier</t>
  </si>
  <si>
    <t>Route validation, deconfliction, health gates, lockouts, watchdog checks and automatic software safety actions. PFD is dimensionless.</t>
  </si>
  <si>
    <t>Strong independent onboard fail-safe assumption</t>
  </si>
  <si>
    <t>Onboard detect-and-avoid, Safe Contingent Landing, independent monitoring computer, backup controller, autonomous emergency landing, or vibration/imbalance detection with safe-state response. No parachute is assumed for the MK30 case. PFD is dimensionless.</t>
  </si>
  <si>
    <t>Conservative human/procedure assumption</t>
  </si>
  <si>
    <t>Manual inspection, checklist, supervisor approval or maintenance procedure with uncertain response/reliability. PFD is dimensionless.</t>
  </si>
  <si>
    <t>Non-independent safeguard</t>
  </si>
  <si>
    <t>No risk-reduction credit</t>
  </si>
  <si>
    <t>Use where the safeguard depends on the same failure path or data source as the initiating event.</t>
  </si>
  <si>
    <t>Acceptable screening threshold [/flight h]</t>
  </si>
  <si>
    <t>Used as the screening threshold in the sheet. The uploaded paper compares collective ground risk per UA flight hour with 1E-6 fatal injuries on the ground per UA flight hour. In this LOPA it is applied as a conservative review threshold for residual hazardous-event frequency.</t>
  </si>
  <si>
    <t>ALARP/review threshold [/flight h]</t>
  </si>
  <si>
    <t>Residual frequencies above 1E-6 and up to 1E-5 per flight hour are flagged for review.</t>
  </si>
  <si>
    <t>Method note</t>
  </si>
  <si>
    <t>Residual frequency λ_res [/flight h] = λ_init [/flight h] × conditional modifier × IPL 1 PFD × IPL 2 PFD.</t>
  </si>
  <si>
    <t>A value of 1.0 is used conservatively because no exposure-specific operational data were available.</t>
  </si>
  <si>
    <t>Frequency basis</t>
  </si>
  <si>
    <t>Per flight hour</t>
  </si>
  <si>
    <t>Initiating frequencies are expressed as rates per flight hour. PFD values are not per hour; they are dimensionless probabilities of failure on demand.</t>
  </si>
  <si>
    <t>Data limitation</t>
  </si>
  <si>
    <t>The frequency mapping is an academic order-of-magnitude assumption anchored to Blom et al. (2021), not measured Amazon MK30 reliability data. IPL values do not represent IEC 61511/IEC 61508 certified SIL ratings.</t>
  </si>
  <si>
    <t>MK30 case-study basis</t>
  </si>
  <si>
    <t>Public sources describe the MK30 as using onboard detect-and-avoid, cameras/sensors for obstacle sensing, redundant safety features, monitoring/backup control behaviour, and safe contingency behaviour. Fleet-level deconfliction and mission lockout functions remain academic assumptions for the LOPA model.</t>
  </si>
  <si>
    <t>Source used for per-flight-hour anchor</t>
  </si>
  <si>
    <t>Blom et al. (2021) — uploaded paper</t>
  </si>
  <si>
    <t>Reliability Engineering &amp; System Safety 214 (2021) 107788</t>
  </si>
  <si>
    <t>The paper adopts λ_H = 3.42E-4 per hour for UAS system failures causing inability to maintain coordinated flight and evaluates collective ground risk per UA flight hour.</t>
  </si>
  <si>
    <t>DOI</t>
  </si>
  <si>
    <t>10.1016/j.ress.2021.107788</t>
  </si>
  <si>
    <t>Public source URLs</t>
  </si>
  <si>
    <t>About Amazon MK30 overview</t>
  </si>
  <si>
    <t>https://www.aboutamazon.com/news/operations/mk30-drone-amazon-delivery-packages</t>
  </si>
  <si>
    <t>Public MK30 overview, design/testing description and detect-and-avoid discussion.</t>
  </si>
  <si>
    <t>About Amazon Prime Air safety</t>
  </si>
  <si>
    <t>https://www.aboutamazon.com/news/transportation/prime-air-amazon-drone-delivery-faa-safety</t>
  </si>
  <si>
    <t>Public Prime Air safety description including monitoring/backup control and contingency behaviour.</t>
  </si>
  <si>
    <t>Prime Air Drone Operations</t>
  </si>
  <si>
    <t>https://www.amazon.com/Prime-Air-Drone-Operations/b?ie=UTF8&amp;node=216862659011</t>
  </si>
  <si>
    <t>Public operations page describing use of cameras/sensors to navigate, sense and avoid obstacles, deliver and land.</t>
  </si>
  <si>
    <t>FAA written re-evaluation</t>
  </si>
  <si>
    <t>https://www.faa.gov/uas/advanced_operations/nepa_and_drones/20250827_Amazon_Pendleton_OR_Written_ReEvaluation.pdf</t>
  </si>
  <si>
    <t>FAA document noting MK30 redundant safety features and detect-and-avoid technology.</t>
  </si>
  <si>
    <t>Amazon MK30 LOPA Summary — Per Flight Hour Basis</t>
  </si>
  <si>
    <t>Total LOPA scenarios</t>
  </si>
  <si>
    <t>Acceptable for screening</t>
  </si>
  <si>
    <t>ALARP / review</t>
  </si>
  <si>
    <t>Additional IPL needed</t>
  </si>
  <si>
    <t>Smallest residual frequency</t>
  </si>
  <si>
    <t>Hazardous event</t>
  </si>
  <si>
    <t>Initial frequency λ_init [/flight h]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</si>
</sst>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b/>
      <sz val="14.0"/>
      <color rgb="FFFFFFFF"/>
      <name val="Aptos"/>
    </font>
    <font>
      <i/>
      <sz val="10.0"/>
      <color theme="1"/>
      <name val="Arial"/>
    </font>
    <font>
      <sz val="10.0"/>
      <color theme="1"/>
      <name val="Aptos"/>
    </font>
    <font>
      <b/>
      <sz val="10.0"/>
      <color rgb="FFFFFFFF"/>
      <name val="Aptos"/>
    </font>
    <font>
      <b/>
      <sz val="10.0"/>
      <color rgb="FFFFFFFF"/>
      <name val="Arial"/>
    </font>
    <font>
      <sz val="10.0"/>
      <color theme="1"/>
      <name val="Arial"/>
    </font>
    <font>
      <color theme="1"/>
      <name val="Carlito"/>
      <scheme val="minor"/>
    </font>
    <font>
      <b/>
      <sz val="10.0"/>
      <color theme="1"/>
      <name val="Aptos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AF3F8"/>
        <bgColor rgb="FFEAF3F8"/>
      </patternFill>
    </fill>
    <fill>
      <patternFill patternType="solid">
        <fgColor rgb="FFB6D7A8"/>
        <bgColor rgb="FFB6D7A8"/>
      </patternFill>
    </fill>
    <fill>
      <patternFill patternType="solid">
        <fgColor rgb="FFD9EAD3"/>
        <bgColor rgb="FFD9EAD3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2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readingOrder="0" shrinkToFit="0" vertical="top" wrapText="1"/>
    </xf>
    <xf borderId="0" fillId="0" fontId="3" numFmtId="0" xfId="0" applyAlignment="1" applyFont="1">
      <alignment shrinkToFit="0" vertical="top" wrapText="1"/>
    </xf>
    <xf borderId="1" fillId="2" fontId="4" numFmtId="0" xfId="0" applyAlignment="1" applyBorder="1" applyFont="1">
      <alignment horizontal="center" shrinkToFit="0" vertical="center" wrapText="1"/>
    </xf>
    <xf borderId="1" fillId="2" fontId="5" numFmtId="0" xfId="0" applyAlignment="1" applyBorder="1" applyFont="1">
      <alignment horizontal="center" readingOrder="0" shrinkToFit="0" vertical="center" wrapText="1"/>
    </xf>
    <xf borderId="0" fillId="0" fontId="3" numFmtId="0" xfId="0" applyAlignment="1" applyFont="1">
      <alignment shrinkToFit="0" vertical="top" wrapText="1"/>
    </xf>
    <xf borderId="0" fillId="0" fontId="3" numFmtId="2" xfId="0" applyAlignment="1" applyFont="1" applyNumberFormat="1">
      <alignment shrinkToFit="0" vertical="top" wrapText="1"/>
    </xf>
    <xf borderId="0" fillId="0" fontId="3" numFmtId="1" xfId="0" applyAlignment="1" applyFont="1" applyNumberFormat="1">
      <alignment shrinkToFit="0" vertical="top" wrapText="1"/>
    </xf>
    <xf borderId="0" fillId="0" fontId="3" numFmtId="11" xfId="0" applyAlignment="1" applyFont="1" applyNumberFormat="1">
      <alignment shrinkToFit="0" vertical="top" wrapText="1"/>
    </xf>
    <xf borderId="0" fillId="4" fontId="3" numFmtId="0" xfId="0" applyAlignment="1" applyFill="1" applyFont="1">
      <alignment shrinkToFit="0" vertical="top" wrapText="1"/>
    </xf>
    <xf borderId="0" fillId="2" fontId="4" numFmtId="0" xfId="0" applyAlignment="1" applyFont="1">
      <alignment shrinkToFit="0" vertical="top" wrapText="1"/>
    </xf>
    <xf borderId="0" fillId="0" fontId="3" numFmtId="11" xfId="0" applyAlignment="1" applyFont="1" applyNumberFormat="1">
      <alignment shrinkToFit="0" vertical="top" wrapText="1"/>
    </xf>
    <xf borderId="0" fillId="0" fontId="3" numFmtId="2" xfId="0" applyAlignment="1" applyFont="1" applyNumberFormat="1">
      <alignment shrinkToFit="0" vertical="top" wrapText="1"/>
    </xf>
    <xf borderId="0" fillId="5" fontId="3" numFmtId="0" xfId="0" applyAlignment="1" applyFill="1" applyFont="1">
      <alignment shrinkToFit="0" vertical="top" wrapText="1"/>
    </xf>
    <xf borderId="0" fillId="5" fontId="3" numFmtId="11" xfId="0" applyAlignment="1" applyFont="1" applyNumberFormat="1">
      <alignment shrinkToFit="0" vertical="top" wrapText="1"/>
    </xf>
    <xf borderId="0" fillId="0" fontId="6" numFmtId="0" xfId="0" applyAlignment="1" applyFont="1">
      <alignment readingOrder="0" shrinkToFit="0" vertical="top" wrapText="1"/>
    </xf>
    <xf borderId="0" fillId="0" fontId="7" numFmtId="0" xfId="0" applyFont="1"/>
    <xf borderId="0" fillId="3" fontId="8" numFmtId="0" xfId="0" applyAlignment="1" applyFont="1">
      <alignment shrinkToFit="0" vertical="top" wrapText="1"/>
    </xf>
    <xf borderId="0" fillId="3" fontId="3" numFmtId="0" xfId="0" applyAlignment="1" applyFont="1">
      <alignment shrinkToFit="0" vertical="top" wrapText="1"/>
    </xf>
    <xf borderId="0" fillId="3" fontId="3" numFmtId="11" xfId="0" applyAlignment="1" applyFont="1" applyNumberFormat="1">
      <alignment shrinkToFit="0" vertical="top" wrapText="1"/>
    </xf>
    <xf borderId="0" fillId="2" fontId="4" numFmtId="0" xfId="0" applyAlignment="1" applyFont="1">
      <alignment shrinkToFit="0" vertical="top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solid">
          <fgColor rgb="FFFECACA"/>
          <bgColor rgb="FFFECACA"/>
        </patternFill>
      </fill>
      <border/>
    </dxf>
  </dxfs>
  <tableStyles count="2">
    <tableStyle count="3" pivot="0" name="LOPA-style">
      <tableStyleElement dxfId="1" type="headerRow"/>
      <tableStyleElement dxfId="2" type="firstRowStripe"/>
      <tableStyleElement dxfId="3" type="secondRowStripe"/>
    </tableStyle>
    <tableStyle count="3" pivot="0" name="Summary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V12" displayName="Table_1" name="Table_1" id="1">
  <tableColumns count="22">
    <tableColumn name="Scenario ID" id="1"/>
    <tableColumn name="FTA area" id="2"/>
    <tableColumn name="FMEA No." id="3"/>
    <tableColumn name="Hazardous event / failure mode" id="4"/>
    <tableColumn name="Initiating cause(s) from FMEA / FTA" id="5"/>
    <tableColumn name="Consequence" id="6"/>
    <tableColumn name="Severity (S)" id="7"/>
    <tableColumn name="Occurrence (O)" id="8"/>
    <tableColumn name="RPN" id="9"/>
    <tableColumn name="Initial frequency class" id="10"/>
    <tableColumn name="Initiating frequency λ_init [/flight h]" id="11"/>
    <tableColumn name="Conditional modifier" id="12"/>
    <tableColumn name="IPL 1" id="13"/>
    <tableColumn name="IPL 1 category" id="14"/>
    <tableColumn name="IPL 1 PFD" id="15"/>
    <tableColumn name="IPL 2" id="16"/>
    <tableColumn name="IPL 2 category" id="17"/>
    <tableColumn name="IPL 2 PFD" id="18"/>
    <tableColumn name="Residual frequency λ_res [/flight h]" id="19"/>
    <tableColumn name="Risk reduction factor" id="20"/>
    <tableColumn name="Decision" id="21"/>
    <tableColumn name="Independence / notes" id="22"/>
  </tableColumns>
  <tableStyleInfo name="LOPA-style" showColumnStripes="0" showFirstColumn="1" showLastColumn="1" showRowStripes="1"/>
</table>
</file>

<file path=xl/tables/table2.xml><?xml version="1.0" encoding="utf-8"?>
<table xmlns="http://schemas.openxmlformats.org/spreadsheetml/2006/main" ref="A10:F18" displayName="Table_2" name="Table_2" id="2">
  <tableColumns count="6">
    <tableColumn name="Scenario ID" id="1"/>
    <tableColumn name="FMEA No." id="2"/>
    <tableColumn name="Hazardous event" id="3"/>
    <tableColumn name="Initial frequency λ_init [/flight h]" id="4"/>
    <tableColumn name="Residual frequency λ_res [/flight h]" id="5"/>
    <tableColumn name="Decision" id="6"/>
  </tableColumns>
  <tableStyleInfo name="Summary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4.0"/>
    <col customWidth="1" min="3" max="3" width="10.0"/>
    <col customWidth="1" min="4" max="4" width="28.0"/>
    <col customWidth="1" min="5" max="6" width="38.0"/>
    <col customWidth="1" min="7" max="7" width="12.0"/>
    <col customWidth="1" min="8" max="8" width="14.0"/>
    <col customWidth="1" min="9" max="9" width="10.0"/>
    <col customWidth="1" min="10" max="10" width="18.0"/>
    <col customWidth="1" min="11" max="11" width="22.0"/>
    <col customWidth="1" min="12" max="12" width="16.0"/>
    <col customWidth="1" min="13" max="14" width="32.0"/>
    <col customWidth="1" min="15" max="15" width="10.0"/>
    <col customWidth="1" min="16" max="17" width="32.0"/>
    <col customWidth="1" min="18" max="18" width="10.0"/>
    <col customWidth="1" min="19" max="19" width="22.0"/>
    <col customWidth="1" min="20" max="20" width="18.0"/>
    <col customWidth="1" min="21" max="21" width="22.0"/>
    <col customWidth="1" min="22" max="22" width="48.0"/>
    <col customWidth="1" min="23" max="26" width="8.63"/>
  </cols>
  <sheetData>
    <row r="1" ht="27.75" customHeight="1">
      <c r="A1" s="1" t="s">
        <v>0</v>
      </c>
    </row>
    <row r="2" ht="57.75" customHeight="1">
      <c r="A2" s="2" t="s">
        <v>1</v>
      </c>
    </row>
    <row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ht="43.5" customHeight="1">
      <c r="A4" s="4" t="s">
        <v>2</v>
      </c>
      <c r="B4" s="5" t="s">
        <v>3</v>
      </c>
      <c r="C4" s="4" t="s">
        <v>4</v>
      </c>
      <c r="D4" s="4" t="s">
        <v>5</v>
      </c>
      <c r="E4" s="5" t="s">
        <v>6</v>
      </c>
      <c r="F4" s="5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  <c r="T4" s="4" t="s">
        <v>21</v>
      </c>
      <c r="U4" s="4" t="s">
        <v>22</v>
      </c>
      <c r="V4" s="4" t="s">
        <v>23</v>
      </c>
    </row>
    <row r="5" ht="69.75" customHeight="1">
      <c r="A5" s="6" t="s">
        <v>24</v>
      </c>
      <c r="B5" s="6" t="s">
        <v>25</v>
      </c>
      <c r="C5" s="6" t="s">
        <v>26</v>
      </c>
      <c r="D5" s="6" t="s">
        <v>27</v>
      </c>
      <c r="E5" s="6" t="s">
        <v>28</v>
      </c>
      <c r="F5" s="6" t="s">
        <v>29</v>
      </c>
      <c r="G5" s="7">
        <v>8.33</v>
      </c>
      <c r="H5" s="7">
        <v>3.5</v>
      </c>
      <c r="I5" s="8">
        <v>224.0</v>
      </c>
      <c r="J5" s="6" t="str">
        <f>IF(H5&lt;=2,Assumptions!$B$4,IF(H5&lt;=4,Assumptions!$B$5,IF(H5&lt;=6,Assumptions!$B$6,IF(H5&lt;=8,Assumptions!$B$7,Assumptions!$B$8))))</f>
        <v>Unlikely</v>
      </c>
      <c r="K5" s="9">
        <f>IF(H5&lt;=2,Assumptions!$C$4,IF(H5&lt;=4,Assumptions!$C$5,IF(H5&lt;=6,Assumptions!$C$6,IF(H5&lt;=8,Assumptions!$C$7,Assumptions!$C$8))))</f>
        <v>0.0000342</v>
      </c>
      <c r="L5" s="7">
        <v>1.0</v>
      </c>
      <c r="M5" s="6" t="s">
        <v>30</v>
      </c>
      <c r="N5" s="6" t="s">
        <v>31</v>
      </c>
      <c r="O5" s="7">
        <f>IFERROR(VLOOKUP(N5,Assumptions!$A$11:$B$14,2,FALSE),1)</f>
        <v>0.1</v>
      </c>
      <c r="P5" s="6" t="s">
        <v>32</v>
      </c>
      <c r="Q5" s="6" t="s">
        <v>31</v>
      </c>
      <c r="R5" s="7">
        <f>IFERROR(VLOOKUP(Q5,Assumptions!$A$11:$B$14,2,FALSE),1)</f>
        <v>0.1</v>
      </c>
      <c r="S5" s="9">
        <f t="shared" ref="S5:S12" si="1">K5*L5*O5*R5</f>
        <v>0.000000342</v>
      </c>
      <c r="T5" s="8">
        <f t="shared" ref="T5:T12" si="2">IF(S5&gt;0,K5/S5,"")</f>
        <v>100</v>
      </c>
      <c r="U5" s="10" t="str">
        <f>IF(S5&lt;=Assumptions!$B$16,"Acceptable for screening",IF(S5&lt;=Assumptions!$B$17,"ALARP / review","Additional IPL needed"))</f>
        <v>Acceptable for screening</v>
      </c>
      <c r="V5" s="6" t="s">
        <v>33</v>
      </c>
    </row>
    <row r="6" ht="69.75" customHeight="1">
      <c r="A6" s="6" t="s">
        <v>34</v>
      </c>
      <c r="B6" s="6" t="s">
        <v>35</v>
      </c>
      <c r="C6" s="6" t="s">
        <v>36</v>
      </c>
      <c r="D6" s="6" t="s">
        <v>37</v>
      </c>
      <c r="E6" s="6" t="s">
        <v>38</v>
      </c>
      <c r="F6" s="6" t="s">
        <v>39</v>
      </c>
      <c r="G6" s="7">
        <v>6.17</v>
      </c>
      <c r="H6" s="7">
        <v>5.5</v>
      </c>
      <c r="I6" s="8">
        <v>216.0</v>
      </c>
      <c r="J6" s="6" t="str">
        <f>IF(H6&lt;=2,Assumptions!$B$4,IF(H6&lt;=4,Assumptions!$B$5,IF(H6&lt;=6,Assumptions!$B$6,IF(H6&lt;=8,Assumptions!$B$7,Assumptions!$B$8))))</f>
        <v>Occasional</v>
      </c>
      <c r="K6" s="9">
        <f>IF(H6&lt;=2,Assumptions!$C$4,IF(H6&lt;=4,Assumptions!$C$5,IF(H6&lt;=6,Assumptions!$C$6,IF(H6&lt;=8,Assumptions!$C$7,Assumptions!$C$8))))</f>
        <v>0.000342</v>
      </c>
      <c r="L6" s="7">
        <v>1.0</v>
      </c>
      <c r="M6" s="6" t="s">
        <v>40</v>
      </c>
      <c r="N6" s="6" t="s">
        <v>41</v>
      </c>
      <c r="O6" s="7">
        <f>IFERROR(VLOOKUP(N6,Assumptions!$A$11:$B$14,2,FALSE),1)</f>
        <v>0.01</v>
      </c>
      <c r="P6" s="6" t="s">
        <v>42</v>
      </c>
      <c r="Q6" s="6" t="s">
        <v>31</v>
      </c>
      <c r="R6" s="7">
        <f>IFERROR(VLOOKUP(Q6,Assumptions!$A$11:$B$14,2,FALSE),1)</f>
        <v>0.1</v>
      </c>
      <c r="S6" s="9">
        <f t="shared" si="1"/>
        <v>0.000000342</v>
      </c>
      <c r="T6" s="8">
        <f t="shared" si="2"/>
        <v>1000</v>
      </c>
      <c r="U6" s="10" t="str">
        <f>IF(S6&lt;=Assumptions!$B$16,"Acceptable for screening",IF(S6&lt;=Assumptions!$B$17,"ALARP / review","Additional IPL needed"))</f>
        <v>Acceptable for screening</v>
      </c>
      <c r="V6" s="6" t="s">
        <v>43</v>
      </c>
    </row>
    <row r="7" ht="69.75" customHeight="1">
      <c r="A7" s="6" t="s">
        <v>44</v>
      </c>
      <c r="B7" s="6" t="s">
        <v>25</v>
      </c>
      <c r="C7" s="6" t="s">
        <v>45</v>
      </c>
      <c r="D7" s="6" t="s">
        <v>46</v>
      </c>
      <c r="E7" s="6" t="s">
        <v>47</v>
      </c>
      <c r="F7" s="6" t="s">
        <v>48</v>
      </c>
      <c r="G7" s="7">
        <v>6.83</v>
      </c>
      <c r="H7" s="7">
        <v>3.5</v>
      </c>
      <c r="I7" s="8">
        <v>196.0</v>
      </c>
      <c r="J7" s="6" t="str">
        <f>IF(H7&lt;=2,Assumptions!$B$4,IF(H7&lt;=4,Assumptions!$B$5,IF(H7&lt;=6,Assumptions!$B$6,IF(H7&lt;=8,Assumptions!$B$7,Assumptions!$B$8))))</f>
        <v>Unlikely</v>
      </c>
      <c r="K7" s="9">
        <f>IF(H7&lt;=2,Assumptions!$C$4,IF(H7&lt;=4,Assumptions!$C$5,IF(H7&lt;=6,Assumptions!$C$6,IF(H7&lt;=8,Assumptions!$C$7,Assumptions!$C$8))))</f>
        <v>0.0000342</v>
      </c>
      <c r="L7" s="7">
        <v>1.0</v>
      </c>
      <c r="M7" s="6" t="s">
        <v>49</v>
      </c>
      <c r="N7" s="6" t="s">
        <v>31</v>
      </c>
      <c r="O7" s="7">
        <f>IFERROR(VLOOKUP(N7,Assumptions!$A$11:$B$14,2,FALSE),1)</f>
        <v>0.1</v>
      </c>
      <c r="P7" s="6" t="s">
        <v>50</v>
      </c>
      <c r="Q7" s="6" t="s">
        <v>31</v>
      </c>
      <c r="R7" s="7">
        <f>IFERROR(VLOOKUP(Q7,Assumptions!$A$11:$B$14,2,FALSE),1)</f>
        <v>0.1</v>
      </c>
      <c r="S7" s="9">
        <f t="shared" si="1"/>
        <v>0.000000342</v>
      </c>
      <c r="T7" s="8">
        <f t="shared" si="2"/>
        <v>100</v>
      </c>
      <c r="U7" s="10" t="str">
        <f>IF(S7&lt;=Assumptions!$B$16,"Acceptable for screening",IF(S7&lt;=Assumptions!$B$17,"ALARP / review","Additional IPL needed"))</f>
        <v>Acceptable for screening</v>
      </c>
      <c r="V7" s="6" t="s">
        <v>51</v>
      </c>
    </row>
    <row r="8" ht="69.75" customHeight="1">
      <c r="A8" s="6" t="s">
        <v>52</v>
      </c>
      <c r="B8" s="6" t="s">
        <v>35</v>
      </c>
      <c r="C8" s="6" t="s">
        <v>53</v>
      </c>
      <c r="D8" s="6" t="s">
        <v>54</v>
      </c>
      <c r="E8" s="6" t="s">
        <v>55</v>
      </c>
      <c r="F8" s="6" t="s">
        <v>56</v>
      </c>
      <c r="G8" s="7">
        <v>7.67</v>
      </c>
      <c r="H8" s="7">
        <v>3.83</v>
      </c>
      <c r="I8" s="8">
        <v>192.0</v>
      </c>
      <c r="J8" s="6" t="str">
        <f>IF(H8&lt;=2,Assumptions!$B$4,IF(H8&lt;=4,Assumptions!$B$5,IF(H8&lt;=6,Assumptions!$B$6,IF(H8&lt;=8,Assumptions!$B$7,Assumptions!$B$8))))</f>
        <v>Unlikely</v>
      </c>
      <c r="K8" s="9">
        <f>IF(H8&lt;=2,Assumptions!$C$4,IF(H8&lt;=4,Assumptions!$C$5,IF(H8&lt;=6,Assumptions!$C$6,IF(H8&lt;=8,Assumptions!$C$7,Assumptions!$C$8))))</f>
        <v>0.0000342</v>
      </c>
      <c r="L8" s="7">
        <v>1.0</v>
      </c>
      <c r="M8" s="6" t="s">
        <v>57</v>
      </c>
      <c r="N8" s="6" t="s">
        <v>31</v>
      </c>
      <c r="O8" s="7">
        <f>IFERROR(VLOOKUP(N8,Assumptions!$A$11:$B$14,2,FALSE),1)</f>
        <v>0.1</v>
      </c>
      <c r="P8" s="6" t="s">
        <v>40</v>
      </c>
      <c r="Q8" s="6" t="s">
        <v>41</v>
      </c>
      <c r="R8" s="7">
        <f>IFERROR(VLOOKUP(Q8,Assumptions!$A$11:$B$14,2,FALSE),1)</f>
        <v>0.01</v>
      </c>
      <c r="S8" s="9">
        <f t="shared" si="1"/>
        <v>0.0000000342</v>
      </c>
      <c r="T8" s="8">
        <f t="shared" si="2"/>
        <v>1000</v>
      </c>
      <c r="U8" s="10" t="str">
        <f>IF(S8&lt;=Assumptions!$B$16,"Acceptable for screening",IF(S8&lt;=Assumptions!$B$17,"ALARP / review","Additional IPL needed"))</f>
        <v>Acceptable for screening</v>
      </c>
      <c r="V8" s="6" t="s">
        <v>58</v>
      </c>
    </row>
    <row r="9" ht="69.75" customHeight="1">
      <c r="A9" s="6" t="s">
        <v>59</v>
      </c>
      <c r="B9" s="6" t="s">
        <v>60</v>
      </c>
      <c r="C9" s="6" t="s">
        <v>61</v>
      </c>
      <c r="D9" s="6" t="s">
        <v>62</v>
      </c>
      <c r="E9" s="6" t="s">
        <v>63</v>
      </c>
      <c r="F9" s="6" t="s">
        <v>64</v>
      </c>
      <c r="G9" s="7">
        <v>8.33</v>
      </c>
      <c r="H9" s="7">
        <v>2.83</v>
      </c>
      <c r="I9" s="8">
        <v>192.0</v>
      </c>
      <c r="J9" s="6" t="str">
        <f>IF(H9&lt;=2,Assumptions!$B$4,IF(H9&lt;=4,Assumptions!$B$5,IF(H9&lt;=6,Assumptions!$B$6,IF(H9&lt;=8,Assumptions!$B$7,Assumptions!$B$8))))</f>
        <v>Unlikely</v>
      </c>
      <c r="K9" s="9">
        <f>IF(H9&lt;=2,Assumptions!$C$4,IF(H9&lt;=4,Assumptions!$C$5,IF(H9&lt;=6,Assumptions!$C$6,IF(H9&lt;=8,Assumptions!$C$7,Assumptions!$C$8))))</f>
        <v>0.0000342</v>
      </c>
      <c r="L9" s="7">
        <v>1.0</v>
      </c>
      <c r="M9" s="6" t="s">
        <v>65</v>
      </c>
      <c r="N9" s="6" t="s">
        <v>31</v>
      </c>
      <c r="O9" s="7">
        <f>IFERROR(VLOOKUP(N9,Assumptions!$A$11:$B$14,2,FALSE),1)</f>
        <v>0.1</v>
      </c>
      <c r="P9" s="6" t="s">
        <v>66</v>
      </c>
      <c r="Q9" s="6" t="s">
        <v>41</v>
      </c>
      <c r="R9" s="7">
        <f>IFERROR(VLOOKUP(Q9,Assumptions!$A$11:$B$14,2,FALSE),1)</f>
        <v>0.01</v>
      </c>
      <c r="S9" s="9">
        <f t="shared" si="1"/>
        <v>0.0000000342</v>
      </c>
      <c r="T9" s="8">
        <f t="shared" si="2"/>
        <v>1000</v>
      </c>
      <c r="U9" s="10" t="str">
        <f>IF(S9&lt;=Assumptions!$B$16,"Acceptable for screening",IF(S9&lt;=Assumptions!$B$17,"ALARP / review","Additional IPL needed"))</f>
        <v>Acceptable for screening</v>
      </c>
      <c r="V9" s="6" t="s">
        <v>67</v>
      </c>
    </row>
    <row r="10" ht="69.75" customHeight="1">
      <c r="A10" s="6" t="s">
        <v>68</v>
      </c>
      <c r="B10" s="6" t="s">
        <v>25</v>
      </c>
      <c r="C10" s="6" t="s">
        <v>69</v>
      </c>
      <c r="D10" s="6" t="s">
        <v>70</v>
      </c>
      <c r="E10" s="6" t="s">
        <v>71</v>
      </c>
      <c r="F10" s="6" t="s">
        <v>72</v>
      </c>
      <c r="G10" s="7">
        <v>9.0</v>
      </c>
      <c r="H10" s="7">
        <v>3.17</v>
      </c>
      <c r="I10" s="8">
        <v>189.0</v>
      </c>
      <c r="J10" s="6" t="str">
        <f>IF(H10&lt;=2,Assumptions!$B$4,IF(H10&lt;=4,Assumptions!$B$5,IF(H10&lt;=6,Assumptions!$B$6,IF(H10&lt;=8,Assumptions!$B$7,Assumptions!$B$8))))</f>
        <v>Unlikely</v>
      </c>
      <c r="K10" s="9">
        <f>IF(H10&lt;=2,Assumptions!$C$4,IF(H10&lt;=4,Assumptions!$C$5,IF(H10&lt;=6,Assumptions!$C$6,IF(H10&lt;=8,Assumptions!$C$7,Assumptions!$C$8))))</f>
        <v>0.0000342</v>
      </c>
      <c r="L10" s="7">
        <v>1.0</v>
      </c>
      <c r="M10" s="6" t="s">
        <v>73</v>
      </c>
      <c r="N10" s="6" t="s">
        <v>41</v>
      </c>
      <c r="O10" s="7">
        <f>IFERROR(VLOOKUP(N10,Assumptions!$A$11:$B$14,2,FALSE),1)</f>
        <v>0.01</v>
      </c>
      <c r="P10" s="6" t="s">
        <v>74</v>
      </c>
      <c r="Q10" s="6" t="s">
        <v>41</v>
      </c>
      <c r="R10" s="7">
        <f>IFERROR(VLOOKUP(Q10,Assumptions!$A$11:$B$14,2,FALSE),1)</f>
        <v>0.01</v>
      </c>
      <c r="S10" s="9">
        <f t="shared" si="1"/>
        <v>0.00000000342</v>
      </c>
      <c r="T10" s="8">
        <f t="shared" si="2"/>
        <v>10000</v>
      </c>
      <c r="U10" s="10" t="str">
        <f>IF(S10&lt;=Assumptions!$B$16,"Acceptable for screening",IF(S10&lt;=Assumptions!$B$17,"ALARP / review","Additional IPL needed"))</f>
        <v>Acceptable for screening</v>
      </c>
      <c r="V10" s="6" t="s">
        <v>75</v>
      </c>
    </row>
    <row r="11" ht="69.75" customHeight="1">
      <c r="A11" s="6" t="s">
        <v>76</v>
      </c>
      <c r="B11" s="6" t="s">
        <v>77</v>
      </c>
      <c r="C11" s="6" t="s">
        <v>78</v>
      </c>
      <c r="D11" s="6" t="s">
        <v>79</v>
      </c>
      <c r="E11" s="6" t="s">
        <v>80</v>
      </c>
      <c r="F11" s="6" t="s">
        <v>81</v>
      </c>
      <c r="G11" s="7">
        <v>6.17</v>
      </c>
      <c r="H11" s="7">
        <v>3.83</v>
      </c>
      <c r="I11" s="8">
        <v>168.0</v>
      </c>
      <c r="J11" s="6" t="str">
        <f>IF(H11&lt;=2,Assumptions!$B$4,IF(H11&lt;=4,Assumptions!$B$5,IF(H11&lt;=6,Assumptions!$B$6,IF(H11&lt;=8,Assumptions!$B$7,Assumptions!$B$8))))</f>
        <v>Unlikely</v>
      </c>
      <c r="K11" s="9">
        <f>IF(H11&lt;=2,Assumptions!$C$4,IF(H11&lt;=4,Assumptions!$C$5,IF(H11&lt;=6,Assumptions!$C$6,IF(H11&lt;=8,Assumptions!$C$7,Assumptions!$C$8))))</f>
        <v>0.0000342</v>
      </c>
      <c r="L11" s="7">
        <v>1.0</v>
      </c>
      <c r="M11" s="6" t="s">
        <v>82</v>
      </c>
      <c r="N11" s="6" t="s">
        <v>31</v>
      </c>
      <c r="O11" s="7">
        <f>IFERROR(VLOOKUP(N11,Assumptions!$A$11:$B$14,2,FALSE),1)</f>
        <v>0.1</v>
      </c>
      <c r="P11" s="6" t="s">
        <v>83</v>
      </c>
      <c r="Q11" s="6" t="s">
        <v>41</v>
      </c>
      <c r="R11" s="7">
        <f>IFERROR(VLOOKUP(Q11,Assumptions!$A$11:$B$14,2,FALSE),1)</f>
        <v>0.01</v>
      </c>
      <c r="S11" s="9">
        <f t="shared" si="1"/>
        <v>0.0000000342</v>
      </c>
      <c r="T11" s="8">
        <f t="shared" si="2"/>
        <v>1000</v>
      </c>
      <c r="U11" s="10" t="str">
        <f>IF(S11&lt;=Assumptions!$B$16,"Acceptable for screening",IF(S11&lt;=Assumptions!$B$17,"ALARP / review","Additional IPL needed"))</f>
        <v>Acceptable for screening</v>
      </c>
      <c r="V11" s="6" t="s">
        <v>84</v>
      </c>
    </row>
    <row r="12" ht="69.75" customHeight="1">
      <c r="A12" s="6" t="s">
        <v>85</v>
      </c>
      <c r="B12" s="6" t="s">
        <v>77</v>
      </c>
      <c r="C12" s="6" t="s">
        <v>86</v>
      </c>
      <c r="D12" s="6" t="s">
        <v>87</v>
      </c>
      <c r="E12" s="6" t="s">
        <v>88</v>
      </c>
      <c r="F12" s="6" t="s">
        <v>89</v>
      </c>
      <c r="G12" s="7">
        <v>5.83</v>
      </c>
      <c r="H12" s="7">
        <v>4.33</v>
      </c>
      <c r="I12" s="8">
        <v>168.0</v>
      </c>
      <c r="J12" s="6" t="str">
        <f>IF(H12&lt;=2,Assumptions!$B$4,IF(H12&lt;=4,Assumptions!$B$5,IF(H12&lt;=6,Assumptions!$B$6,IF(H12&lt;=8,Assumptions!$B$7,Assumptions!$B$8))))</f>
        <v>Occasional</v>
      </c>
      <c r="K12" s="9">
        <f>IF(H12&lt;=2,Assumptions!$C$4,IF(H12&lt;=4,Assumptions!$C$5,IF(H12&lt;=6,Assumptions!$C$6,IF(H12&lt;=8,Assumptions!$C$7,Assumptions!$C$8))))</f>
        <v>0.000342</v>
      </c>
      <c r="L12" s="7">
        <v>1.0</v>
      </c>
      <c r="M12" s="6" t="s">
        <v>90</v>
      </c>
      <c r="N12" s="6" t="s">
        <v>91</v>
      </c>
      <c r="O12" s="7">
        <f>IFERROR(VLOOKUP(N12,Assumptions!$A$11:$B$14,2,FALSE),1)</f>
        <v>0.5</v>
      </c>
      <c r="P12" s="6" t="s">
        <v>92</v>
      </c>
      <c r="Q12" s="6" t="s">
        <v>41</v>
      </c>
      <c r="R12" s="7">
        <f>IFERROR(VLOOKUP(Q12,Assumptions!$A$11:$B$14,2,FALSE),1)</f>
        <v>0.01</v>
      </c>
      <c r="S12" s="9">
        <f t="shared" si="1"/>
        <v>0.00000171</v>
      </c>
      <c r="T12" s="8">
        <f t="shared" si="2"/>
        <v>200</v>
      </c>
      <c r="U12" s="6" t="str">
        <f>IF(S12&lt;=Assumptions!$B$16,"Acceptable for screening",IF(S12&lt;=Assumptions!$B$17,"ALARP / review","Additional IPL needed"))</f>
        <v>ALARP / review</v>
      </c>
      <c r="V12" s="6" t="s">
        <v>93</v>
      </c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V1"/>
    <mergeCell ref="A2:V2"/>
  </mergeCells>
  <conditionalFormatting sqref="U5:U12">
    <cfRule type="expression" dxfId="4" priority="1">
      <formula>U5="ALARP / review"</formula>
    </cfRule>
  </conditionalFormatting>
  <conditionalFormatting sqref="U5:U12">
    <cfRule type="expression" dxfId="5" priority="2">
      <formula>U5="Additional IPL needed"</formula>
    </cfRule>
  </conditionalFormatting>
  <dataValidations>
    <dataValidation type="list" allowBlank="1" sqref="N5:N12 Q5:Q12">
      <formula1>Assumptions!$A$11:$A$14</formula1>
    </dataValidation>
  </dataValidations>
  <printOptions/>
  <pageMargins bottom="0.75" footer="0.0" header="0.0" left="0.7" right="0.7" top="0.75"/>
  <pageSetup orientation="landscape"/>
  <colBreaks count="2" manualBreakCount="2">
    <brk man="1"/>
    <brk id="22" man="1"/>
  </colBreaks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30.0"/>
    <col customWidth="1" min="3" max="3" width="25.0"/>
    <col customWidth="1" min="4" max="4" width="65.0"/>
    <col customWidth="1" min="5" max="26" width="8.63"/>
  </cols>
  <sheetData>
    <row r="1" ht="27.75" customHeight="1">
      <c r="A1" s="1" t="s">
        <v>94</v>
      </c>
      <c r="E1" s="3"/>
      <c r="F1" s="3"/>
    </row>
    <row r="2">
      <c r="A2" s="3"/>
      <c r="B2" s="3"/>
      <c r="C2" s="3"/>
      <c r="D2" s="3"/>
      <c r="E2" s="3"/>
      <c r="F2" s="3"/>
    </row>
    <row r="3">
      <c r="A3" s="11" t="s">
        <v>95</v>
      </c>
      <c r="B3" s="11" t="s">
        <v>96</v>
      </c>
      <c r="C3" s="11" t="s">
        <v>12</v>
      </c>
      <c r="D3" s="11" t="s">
        <v>97</v>
      </c>
      <c r="E3" s="3"/>
      <c r="F3" s="3"/>
    </row>
    <row r="4">
      <c r="A4" s="3" t="s">
        <v>98</v>
      </c>
      <c r="B4" s="3" t="s">
        <v>99</v>
      </c>
      <c r="C4" s="12">
        <v>3.42E-6</v>
      </c>
      <c r="D4" s="3" t="s">
        <v>100</v>
      </c>
      <c r="E4" s="3"/>
      <c r="F4" s="3"/>
    </row>
    <row r="5">
      <c r="A5" s="3" t="s">
        <v>101</v>
      </c>
      <c r="B5" s="3" t="s">
        <v>102</v>
      </c>
      <c r="C5" s="12">
        <v>3.42E-5</v>
      </c>
      <c r="D5" s="3" t="s">
        <v>103</v>
      </c>
      <c r="E5" s="3"/>
      <c r="F5" s="3"/>
    </row>
    <row r="6">
      <c r="A6" s="3" t="s">
        <v>104</v>
      </c>
      <c r="B6" s="3" t="s">
        <v>105</v>
      </c>
      <c r="C6" s="12">
        <v>3.42E-4</v>
      </c>
      <c r="D6" s="3" t="s">
        <v>106</v>
      </c>
      <c r="E6" s="3"/>
      <c r="F6" s="3"/>
    </row>
    <row r="7">
      <c r="A7" s="3" t="s">
        <v>107</v>
      </c>
      <c r="B7" s="3" t="s">
        <v>108</v>
      </c>
      <c r="C7" s="12">
        <v>0.00342</v>
      </c>
      <c r="D7" s="3" t="s">
        <v>109</v>
      </c>
      <c r="E7" s="3"/>
      <c r="F7" s="3"/>
    </row>
    <row r="8">
      <c r="A8" s="3" t="s">
        <v>110</v>
      </c>
      <c r="B8" s="3" t="s">
        <v>111</v>
      </c>
      <c r="C8" s="12">
        <v>0.0342</v>
      </c>
      <c r="D8" s="3" t="s">
        <v>112</v>
      </c>
      <c r="E8" s="3"/>
      <c r="F8" s="3"/>
    </row>
    <row r="9">
      <c r="A9" s="3"/>
      <c r="B9" s="3"/>
      <c r="C9" s="3"/>
      <c r="D9" s="3"/>
      <c r="E9" s="3"/>
      <c r="F9" s="3"/>
    </row>
    <row r="10">
      <c r="A10" s="11" t="s">
        <v>113</v>
      </c>
      <c r="B10" s="11" t="s">
        <v>114</v>
      </c>
      <c r="C10" s="11" t="s">
        <v>115</v>
      </c>
      <c r="D10" s="11" t="s">
        <v>116</v>
      </c>
      <c r="E10" s="3"/>
      <c r="F10" s="3"/>
    </row>
    <row r="11">
      <c r="A11" s="3" t="s">
        <v>31</v>
      </c>
      <c r="B11" s="13">
        <v>0.1</v>
      </c>
      <c r="C11" s="3" t="s">
        <v>117</v>
      </c>
      <c r="D11" s="3" t="s">
        <v>118</v>
      </c>
      <c r="E11" s="3"/>
      <c r="F11" s="3"/>
    </row>
    <row r="12">
      <c r="A12" s="3" t="s">
        <v>41</v>
      </c>
      <c r="B12" s="13">
        <v>0.01</v>
      </c>
      <c r="C12" s="3" t="s">
        <v>119</v>
      </c>
      <c r="D12" s="3" t="s">
        <v>120</v>
      </c>
      <c r="E12" s="3"/>
      <c r="F12" s="3"/>
    </row>
    <row r="13">
      <c r="A13" s="3" t="s">
        <v>91</v>
      </c>
      <c r="B13" s="13">
        <v>0.5</v>
      </c>
      <c r="C13" s="3" t="s">
        <v>121</v>
      </c>
      <c r="D13" s="3" t="s">
        <v>122</v>
      </c>
      <c r="E13" s="3"/>
      <c r="F13" s="3"/>
    </row>
    <row r="14">
      <c r="A14" s="3" t="s">
        <v>123</v>
      </c>
      <c r="B14" s="13">
        <v>1.0</v>
      </c>
      <c r="C14" s="3" t="s">
        <v>124</v>
      </c>
      <c r="D14" s="3" t="s">
        <v>125</v>
      </c>
      <c r="E14" s="3"/>
      <c r="F14" s="3"/>
    </row>
    <row r="15">
      <c r="A15" s="3"/>
      <c r="B15" s="3"/>
      <c r="C15" s="3"/>
      <c r="D15" s="3"/>
      <c r="E15" s="3"/>
      <c r="F15" s="3"/>
    </row>
    <row r="16">
      <c r="A16" s="14" t="s">
        <v>126</v>
      </c>
      <c r="B16" s="15">
        <v>1.0E-6</v>
      </c>
      <c r="C16" s="14"/>
      <c r="D16" s="14" t="s">
        <v>127</v>
      </c>
      <c r="E16" s="3"/>
      <c r="F16" s="3"/>
    </row>
    <row r="17">
      <c r="A17" s="14" t="s">
        <v>128</v>
      </c>
      <c r="B17" s="15">
        <v>1.0E-5</v>
      </c>
      <c r="C17" s="3"/>
      <c r="D17" s="3" t="s">
        <v>129</v>
      </c>
      <c r="E17" s="3"/>
      <c r="F17" s="3"/>
    </row>
    <row r="18">
      <c r="A18" s="3"/>
      <c r="B18" s="3"/>
      <c r="C18" s="3"/>
      <c r="D18" s="3"/>
      <c r="E18" s="3"/>
      <c r="F18" s="3"/>
    </row>
    <row r="19">
      <c r="A19" s="3" t="s">
        <v>130</v>
      </c>
      <c r="B19" s="3"/>
      <c r="C19" s="3"/>
      <c r="D19" s="3" t="s">
        <v>131</v>
      </c>
      <c r="E19" s="3"/>
      <c r="F19" s="3"/>
    </row>
    <row r="20">
      <c r="A20" s="3" t="s">
        <v>13</v>
      </c>
      <c r="B20" s="3">
        <v>1.0</v>
      </c>
      <c r="C20" s="3"/>
      <c r="D20" s="3" t="s">
        <v>132</v>
      </c>
      <c r="E20" s="3"/>
      <c r="F20" s="3"/>
    </row>
    <row r="21" ht="15.75" customHeight="1">
      <c r="A21" s="3" t="s">
        <v>133</v>
      </c>
      <c r="B21" s="3" t="s">
        <v>134</v>
      </c>
      <c r="C21" s="3"/>
      <c r="D21" s="3" t="s">
        <v>135</v>
      </c>
      <c r="E21" s="3"/>
      <c r="F21" s="3"/>
    </row>
    <row r="22" ht="15.75" customHeight="1">
      <c r="A22" s="3" t="s">
        <v>136</v>
      </c>
      <c r="B22" s="3"/>
      <c r="C22" s="3"/>
      <c r="D22" s="3" t="s">
        <v>137</v>
      </c>
      <c r="E22" s="3"/>
      <c r="F22" s="3"/>
    </row>
    <row r="23" ht="15.75" customHeight="1">
      <c r="A23" s="3"/>
      <c r="B23" s="3"/>
      <c r="C23" s="3"/>
      <c r="D23" s="3"/>
      <c r="E23" s="3"/>
      <c r="F23" s="3"/>
    </row>
    <row r="24" ht="42.0" customHeight="1">
      <c r="A24" s="3" t="s">
        <v>138</v>
      </c>
      <c r="B24" s="3"/>
      <c r="C24" s="3"/>
      <c r="D24" s="3" t="s">
        <v>139</v>
      </c>
      <c r="E24" s="3"/>
      <c r="F24" s="3"/>
    </row>
    <row r="25" ht="42.0" customHeight="1">
      <c r="A25" s="3" t="s">
        <v>140</v>
      </c>
      <c r="B25" s="3"/>
      <c r="C25" s="3"/>
      <c r="D25" s="3"/>
      <c r="E25" s="3"/>
      <c r="F25" s="3"/>
    </row>
    <row r="26" ht="42.0" customHeight="1">
      <c r="A26" s="3" t="s">
        <v>141</v>
      </c>
      <c r="B26" s="16" t="s">
        <v>142</v>
      </c>
      <c r="C26" s="3"/>
      <c r="D26" s="3" t="s">
        <v>143</v>
      </c>
      <c r="E26" s="3"/>
      <c r="F26" s="3"/>
    </row>
    <row r="27" ht="42.0" customHeight="1">
      <c r="A27" s="3" t="s">
        <v>144</v>
      </c>
      <c r="B27" s="16" t="s">
        <v>145</v>
      </c>
      <c r="C27" s="3"/>
      <c r="D27" s="3"/>
      <c r="E27" s="3"/>
      <c r="F27" s="3"/>
    </row>
    <row r="28" ht="42.0" customHeight="1">
      <c r="A28" s="3"/>
      <c r="B28" s="3"/>
      <c r="C28" s="3"/>
      <c r="D28" s="3"/>
      <c r="E28" s="3"/>
      <c r="F28" s="3"/>
    </row>
    <row r="29" ht="42.0" customHeight="1">
      <c r="A29" s="3" t="s">
        <v>146</v>
      </c>
      <c r="B29" s="3"/>
      <c r="C29" s="3"/>
      <c r="D29" s="3"/>
      <c r="E29" s="3"/>
      <c r="F29" s="3"/>
    </row>
    <row r="30" ht="15.75" customHeight="1">
      <c r="A30" s="3" t="s">
        <v>147</v>
      </c>
      <c r="B30" s="3" t="s">
        <v>148</v>
      </c>
      <c r="C30" s="3"/>
      <c r="D30" s="3" t="s">
        <v>149</v>
      </c>
      <c r="E30" s="3"/>
      <c r="F30" s="3"/>
    </row>
    <row r="31" ht="15.75" customHeight="1">
      <c r="A31" s="17" t="s">
        <v>150</v>
      </c>
      <c r="B31" s="17" t="s">
        <v>151</v>
      </c>
      <c r="D31" s="17" t="s">
        <v>152</v>
      </c>
    </row>
    <row r="32" ht="15.75" customHeight="1">
      <c r="A32" s="17" t="s">
        <v>153</v>
      </c>
      <c r="B32" s="17" t="s">
        <v>154</v>
      </c>
      <c r="D32" s="17" t="s">
        <v>155</v>
      </c>
    </row>
    <row r="33" ht="15.75" customHeight="1">
      <c r="A33" s="17" t="s">
        <v>156</v>
      </c>
      <c r="B33" s="17" t="s">
        <v>157</v>
      </c>
      <c r="D33" s="17" t="s">
        <v>158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0.0"/>
    <col customWidth="1" min="3" max="3" width="34.0"/>
    <col customWidth="1" min="4" max="6" width="24.0"/>
    <col customWidth="1" min="7" max="26" width="8.63"/>
  </cols>
  <sheetData>
    <row r="1" ht="27.75" customHeight="1">
      <c r="A1" s="1" t="s">
        <v>159</v>
      </c>
    </row>
    <row r="2">
      <c r="A2" s="3"/>
      <c r="B2" s="3"/>
      <c r="C2" s="3"/>
      <c r="D2" s="3"/>
      <c r="E2" s="3"/>
      <c r="F2" s="3"/>
    </row>
    <row r="3">
      <c r="A3" s="18" t="s">
        <v>160</v>
      </c>
      <c r="B3" s="19">
        <f>COUNTA(LOPA!$A$5:$A$12)</f>
        <v>8</v>
      </c>
      <c r="C3" s="3"/>
      <c r="D3" s="3"/>
      <c r="E3" s="3"/>
      <c r="F3" s="3"/>
    </row>
    <row r="4">
      <c r="A4" s="18" t="s">
        <v>161</v>
      </c>
      <c r="B4" s="19">
        <f>COUNTIF(LOPA!$U$5:$U$12,"Acceptable for screening")</f>
        <v>7</v>
      </c>
      <c r="C4" s="3"/>
      <c r="D4" s="3"/>
      <c r="E4" s="3"/>
      <c r="F4" s="3"/>
    </row>
    <row r="5">
      <c r="A5" s="18" t="s">
        <v>162</v>
      </c>
      <c r="B5" s="19">
        <f>COUNTIF(LOPA!$U$5:$U$12,"ALARP / review")</f>
        <v>1</v>
      </c>
      <c r="C5" s="3"/>
      <c r="D5" s="3"/>
      <c r="E5" s="3"/>
      <c r="F5" s="3"/>
    </row>
    <row r="6">
      <c r="A6" s="18" t="s">
        <v>163</v>
      </c>
      <c r="B6" s="19">
        <f>COUNTIF(LOPA!$U$5:$U$12,"Additional IPL needed")</f>
        <v>0</v>
      </c>
      <c r="C6" s="3"/>
      <c r="D6" s="3"/>
      <c r="E6" s="3"/>
      <c r="F6" s="3"/>
    </row>
    <row r="7">
      <c r="A7" s="18" t="s">
        <v>164</v>
      </c>
      <c r="B7" s="20">
        <f>MIN(LOPA!$S$5:$S$12)</f>
        <v>0.00000000342</v>
      </c>
      <c r="C7" s="3"/>
      <c r="D7" s="3"/>
      <c r="E7" s="3"/>
      <c r="F7" s="3"/>
    </row>
    <row r="8">
      <c r="A8" s="3"/>
      <c r="B8" s="3"/>
      <c r="C8" s="3"/>
      <c r="D8" s="3"/>
      <c r="E8" s="3"/>
      <c r="F8" s="3"/>
    </row>
    <row r="9">
      <c r="A9" s="3"/>
      <c r="B9" s="3"/>
      <c r="C9" s="3"/>
      <c r="D9" s="3"/>
      <c r="E9" s="3"/>
      <c r="F9" s="3"/>
    </row>
    <row r="10">
      <c r="A10" s="21" t="s">
        <v>2</v>
      </c>
      <c r="B10" s="21" t="s">
        <v>4</v>
      </c>
      <c r="C10" s="21" t="s">
        <v>165</v>
      </c>
      <c r="D10" s="21" t="s">
        <v>166</v>
      </c>
      <c r="E10" s="21" t="s">
        <v>20</v>
      </c>
      <c r="F10" s="21" t="s">
        <v>22</v>
      </c>
    </row>
    <row r="11">
      <c r="A11" s="6" t="str">
        <f>LOPA!A5</f>
        <v>LOPA-1</v>
      </c>
      <c r="B11" s="6" t="str">
        <f>LOPA!C5</f>
        <v>2.5.3</v>
      </c>
      <c r="C11" s="6" t="str">
        <f>LOPA!D5</f>
        <v>Unsafe drones not grounded</v>
      </c>
      <c r="D11" s="9">
        <f>LOPA!K5</f>
        <v>0.0000342</v>
      </c>
      <c r="E11" s="9">
        <f>LOPA!S5</f>
        <v>0.000000342</v>
      </c>
      <c r="F11" s="6" t="str">
        <f>LOPA!U5</f>
        <v>Acceptable for screening</v>
      </c>
    </row>
    <row r="12">
      <c r="A12" s="6" t="str">
        <f>LOPA!A6</f>
        <v>LOPA-2</v>
      </c>
      <c r="B12" s="6" t="str">
        <f>LOPA!C6</f>
        <v>2.2.3</v>
      </c>
      <c r="C12" s="6" t="str">
        <f>LOPA!D6</f>
        <v>Minimum separation distance violated</v>
      </c>
      <c r="D12" s="9">
        <f>LOPA!K6</f>
        <v>0.000342</v>
      </c>
      <c r="E12" s="9">
        <f>LOPA!S6</f>
        <v>0.000000342</v>
      </c>
      <c r="F12" s="6" t="str">
        <f>LOPA!U6</f>
        <v>Acceptable for screening</v>
      </c>
    </row>
    <row r="13">
      <c r="A13" s="6" t="str">
        <f>LOPA!A7</f>
        <v>LOPA-3</v>
      </c>
      <c r="B13" s="6" t="str">
        <f>LOPA!C7</f>
        <v>2.5.2</v>
      </c>
      <c r="C13" s="6" t="str">
        <f>LOPA!D7</f>
        <v>Return-to-home triggered incorrectly</v>
      </c>
      <c r="D13" s="9">
        <f>LOPA!K7</f>
        <v>0.0000342</v>
      </c>
      <c r="E13" s="9">
        <f>LOPA!S7</f>
        <v>0.000000342</v>
      </c>
      <c r="F13" s="6" t="str">
        <f>LOPA!U7</f>
        <v>Acceptable for screening</v>
      </c>
    </row>
    <row r="14">
      <c r="A14" s="6" t="str">
        <f>LOPA!A8</f>
        <v>LOPA-4</v>
      </c>
      <c r="B14" s="6" t="str">
        <f>LOPA!C8</f>
        <v>2.2.1</v>
      </c>
      <c r="C14" s="6" t="str">
        <f>LOPA!D8</f>
        <v>Airspace conflict not detected</v>
      </c>
      <c r="D14" s="9">
        <f>LOPA!K8</f>
        <v>0.0000342</v>
      </c>
      <c r="E14" s="9">
        <f>LOPA!S8</f>
        <v>0.0000000342</v>
      </c>
      <c r="F14" s="6" t="str">
        <f>LOPA!U8</f>
        <v>Acceptable for screening</v>
      </c>
    </row>
    <row r="15">
      <c r="A15" s="6" t="str">
        <f>LOPA!A9</f>
        <v>LOPA-5</v>
      </c>
      <c r="B15" s="6" t="str">
        <f>LOPA!C9</f>
        <v>2.6.3</v>
      </c>
      <c r="C15" s="6" t="str">
        <f>LOPA!D9</f>
        <v>Critical alert not displayed</v>
      </c>
      <c r="D15" s="9">
        <f>LOPA!K9</f>
        <v>0.0000342</v>
      </c>
      <c r="E15" s="9">
        <f>LOPA!S9</f>
        <v>0.0000000342</v>
      </c>
      <c r="F15" s="6" t="str">
        <f>LOPA!U9</f>
        <v>Acceptable for screening</v>
      </c>
    </row>
    <row r="16">
      <c r="A16" s="6" t="str">
        <f>LOPA!A10</f>
        <v>LOPA-6</v>
      </c>
      <c r="B16" s="6" t="str">
        <f>LOPA!C10</f>
        <v>2.5.1</v>
      </c>
      <c r="C16" s="6" t="str">
        <f>LOPA!D10</f>
        <v>Emergency landing command not executed</v>
      </c>
      <c r="D16" s="9">
        <f>LOPA!K10</f>
        <v>0.0000342</v>
      </c>
      <c r="E16" s="9">
        <f>LOPA!S10</f>
        <v>0.00000000342</v>
      </c>
      <c r="F16" s="6" t="str">
        <f>LOPA!U10</f>
        <v>Acceptable for screening</v>
      </c>
    </row>
    <row r="17">
      <c r="A17" s="6" t="str">
        <f>LOPA!A11</f>
        <v>LOPA-7</v>
      </c>
      <c r="B17" s="6" t="str">
        <f>LOPA!C11</f>
        <v>1.1.1</v>
      </c>
      <c r="C17" s="6" t="str">
        <f>LOPA!D11</f>
        <v>Motor seizure or complete loss of thrust</v>
      </c>
      <c r="D17" s="9">
        <f>LOPA!K11</f>
        <v>0.0000342</v>
      </c>
      <c r="E17" s="9">
        <f>LOPA!S11</f>
        <v>0.0000000342</v>
      </c>
      <c r="F17" s="6" t="str">
        <f>LOPA!U11</f>
        <v>Acceptable for screening</v>
      </c>
    </row>
    <row r="18">
      <c r="A18" s="6" t="str">
        <f>LOPA!A12</f>
        <v>LOPA-8</v>
      </c>
      <c r="B18" s="6" t="str">
        <f>LOPA!C12</f>
        <v>1.1.2</v>
      </c>
      <c r="C18" s="6" t="str">
        <f>LOPA!D12</f>
        <v>Propeller fracture during flight</v>
      </c>
      <c r="D18" s="9">
        <f>LOPA!K12</f>
        <v>0.000342</v>
      </c>
      <c r="E18" s="9">
        <f>LOPA!S12</f>
        <v>0.00000171</v>
      </c>
      <c r="F18" s="6" t="str">
        <f>LOPA!U12</f>
        <v>ALARP / review</v>
      </c>
    </row>
    <row r="19">
      <c r="A19" s="3"/>
      <c r="B19" s="3"/>
      <c r="C19" s="3"/>
      <c r="D19" s="3"/>
      <c r="E19" s="3"/>
      <c r="F19" s="3"/>
    </row>
    <row r="20">
      <c r="A20" s="3"/>
      <c r="B20" s="3"/>
      <c r="C20" s="3"/>
      <c r="D20" s="3"/>
      <c r="E20" s="3"/>
      <c r="F20" s="3"/>
    </row>
    <row r="21" ht="15.75" customHeight="1">
      <c r="A21" s="3"/>
      <c r="B21" s="3"/>
      <c r="C21" s="3"/>
      <c r="D21" s="3"/>
      <c r="E21" s="3"/>
      <c r="F21" s="3"/>
    </row>
    <row r="22" ht="15.75" customHeight="1">
      <c r="A22" s="3"/>
      <c r="B22" s="3"/>
      <c r="C22" s="3"/>
      <c r="D22" s="3"/>
      <c r="E22" s="3"/>
      <c r="F22" s="3"/>
    </row>
    <row r="23" ht="15.75" customHeight="1">
      <c r="A23" s="3"/>
      <c r="B23" s="3"/>
      <c r="C23" s="3"/>
      <c r="D23" s="3"/>
      <c r="E23" s="3"/>
      <c r="F23" s="3"/>
    </row>
    <row r="24" ht="15.75" customHeight="1">
      <c r="A24" s="3"/>
      <c r="B24" s="3"/>
      <c r="C24" s="3"/>
      <c r="D24" s="3"/>
      <c r="E24" s="3"/>
      <c r="F24" s="3"/>
    </row>
    <row r="25" ht="15.75" customHeight="1">
      <c r="A25" s="3"/>
      <c r="B25" s="3"/>
      <c r="C25" s="3"/>
      <c r="D25" s="3"/>
      <c r="E25" s="3"/>
      <c r="F25" s="3"/>
    </row>
    <row r="26" ht="15.75" customHeight="1">
      <c r="A26" s="3"/>
      <c r="B26" s="3"/>
      <c r="C26" s="3"/>
      <c r="D26" s="3"/>
      <c r="E26" s="3"/>
      <c r="F26" s="3"/>
    </row>
    <row r="27" ht="15.75" customHeight="1">
      <c r="A27" s="3"/>
      <c r="B27" s="3"/>
      <c r="C27" s="3"/>
      <c r="D27" s="3"/>
      <c r="E27" s="3"/>
      <c r="F27" s="3"/>
    </row>
    <row r="28" ht="15.75" customHeight="1">
      <c r="A28" s="3"/>
      <c r="B28" s="3"/>
      <c r="C28" s="3"/>
      <c r="D28" s="3"/>
      <c r="E28" s="3"/>
      <c r="F28" s="3"/>
    </row>
    <row r="29" ht="15.75" customHeight="1">
      <c r="A29" s="3"/>
      <c r="B29" s="3"/>
      <c r="C29" s="3"/>
      <c r="D29" s="3"/>
      <c r="E29" s="3"/>
      <c r="F29" s="3"/>
    </row>
    <row r="30" ht="15.75" customHeight="1">
      <c r="A30" s="3"/>
      <c r="B30" s="3"/>
      <c r="C30" s="3"/>
      <c r="D30" s="3"/>
      <c r="E30" s="3"/>
      <c r="F30" s="3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conditionalFormatting sqref="F11:F18">
    <cfRule type="expression" dxfId="4" priority="1">
      <formula>F11="ALARP / review"</formula>
    </cfRule>
  </conditionalFormatting>
  <conditionalFormatting sqref="F11:F18">
    <cfRule type="expression" dxfId="5" priority="2">
      <formula>F11="Additional IPL needed"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