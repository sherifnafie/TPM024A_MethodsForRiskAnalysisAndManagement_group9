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1" name="_xlnm._FilterDatabase">Sheet2!$A$1:$F$9</definedName>
  </definedNames>
  <calcPr/>
</workbook>
</file>

<file path=xl/sharedStrings.xml><?xml version="1.0" encoding="utf-8"?>
<sst xmlns="http://schemas.openxmlformats.org/spreadsheetml/2006/main" count="152" uniqueCount="28">
  <si>
    <t>Dylan</t>
  </si>
  <si>
    <t>Weight</t>
  </si>
  <si>
    <t>Grades:</t>
  </si>
  <si>
    <t>Sherif</t>
  </si>
  <si>
    <t>Nick</t>
  </si>
  <si>
    <t>Stasiek</t>
  </si>
  <si>
    <t>Quita</t>
  </si>
  <si>
    <t>Henrique</t>
  </si>
  <si>
    <t>Losses</t>
  </si>
  <si>
    <t>Drones are not coordinated safely</t>
  </si>
  <si>
    <t>Emergency safeguards do not recover fleet</t>
  </si>
  <si>
    <t>Drone collision with obstacle</t>
  </si>
  <si>
    <t>Loss of control during flight</t>
  </si>
  <si>
    <t>Human safety</t>
  </si>
  <si>
    <t>Economic/property</t>
  </si>
  <si>
    <t>Operational disruption</t>
  </si>
  <si>
    <t>Environmental Implact</t>
  </si>
  <si>
    <t>Regulatory/legal</t>
  </si>
  <si>
    <t>Community/emergency response burden</t>
  </si>
  <si>
    <t>Reputational/social acceptance</t>
  </si>
  <si>
    <t>Escalation potential</t>
  </si>
  <si>
    <t>Total, should be 100</t>
  </si>
  <si>
    <t>Explanation</t>
  </si>
  <si>
    <t>Weights should add up to 100</t>
  </si>
  <si>
    <t>Grades should be 0-10</t>
  </si>
  <si>
    <t>Criteria (Overall)</t>
  </si>
  <si>
    <t>Smaller weights</t>
  </si>
  <si>
    <t>Final 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</si>
</sst>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4" fontId="3" numFmtId="10" xfId="0" applyAlignment="1" applyFill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165" xfId="0" applyFont="1" applyNumberFormat="1"/>
    <xf borderId="0" fillId="0" fontId="3" numFmtId="2" xfId="0" applyAlignment="1" applyFont="1" applyNumberFormat="1">
      <alignment readingOrder="0" vertical="bottom"/>
    </xf>
    <xf borderId="0" fillId="0" fontId="3" numFmtId="2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4" xfId="0" applyFont="1" applyNumberFormat="1"/>
    <xf borderId="0" fillId="0" fontId="4" numFmtId="2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1" t="s">
        <v>3</v>
      </c>
      <c r="I1" s="2" t="s">
        <v>1</v>
      </c>
      <c r="J1" s="2" t="s">
        <v>2</v>
      </c>
      <c r="K1" s="3"/>
      <c r="L1" s="3"/>
      <c r="M1" s="3"/>
      <c r="N1" s="2"/>
      <c r="O1" s="1" t="s">
        <v>4</v>
      </c>
      <c r="P1" s="2" t="s">
        <v>1</v>
      </c>
      <c r="Q1" s="2" t="s">
        <v>2</v>
      </c>
      <c r="R1" s="3"/>
      <c r="S1" s="3"/>
      <c r="T1" s="3"/>
      <c r="U1" s="3"/>
      <c r="V1" s="1" t="s">
        <v>5</v>
      </c>
      <c r="W1" s="2" t="s">
        <v>1</v>
      </c>
      <c r="X1" s="2" t="s">
        <v>2</v>
      </c>
      <c r="Y1" s="3"/>
      <c r="Z1" s="3"/>
      <c r="AA1" s="3"/>
      <c r="AB1" s="3"/>
      <c r="AC1" s="1" t="s">
        <v>6</v>
      </c>
      <c r="AD1" s="2" t="s">
        <v>1</v>
      </c>
      <c r="AE1" s="2" t="s">
        <v>2</v>
      </c>
      <c r="AF1" s="3"/>
      <c r="AG1" s="3"/>
      <c r="AH1" s="3"/>
      <c r="AI1" s="2"/>
      <c r="AJ1" s="1" t="s">
        <v>7</v>
      </c>
      <c r="AK1" s="2" t="s">
        <v>1</v>
      </c>
      <c r="AL1" s="2" t="s">
        <v>2</v>
      </c>
      <c r="AM1" s="3"/>
      <c r="AN1" s="3"/>
      <c r="AO1" s="3"/>
      <c r="AP1" s="2"/>
      <c r="AQ1" s="4"/>
      <c r="AR1" s="2"/>
      <c r="AS1" s="2"/>
      <c r="AT1" s="3"/>
      <c r="AU1" s="3"/>
      <c r="AV1" s="3"/>
      <c r="AW1" s="3"/>
      <c r="AX1" s="5"/>
      <c r="AY1" s="2"/>
      <c r="AZ1" s="2"/>
      <c r="BA1" s="3"/>
      <c r="BB1" s="3"/>
      <c r="BC1" s="3"/>
      <c r="BD1" s="3"/>
      <c r="BE1" s="5"/>
      <c r="BF1" s="2"/>
      <c r="BG1" s="2"/>
      <c r="BH1" s="3"/>
      <c r="BI1" s="3"/>
      <c r="BJ1" s="3"/>
      <c r="BK1" s="2"/>
      <c r="BL1" s="5"/>
      <c r="BM1" s="2"/>
      <c r="BN1" s="2"/>
      <c r="BO1" s="3"/>
      <c r="BP1" s="3"/>
      <c r="BQ1" s="3"/>
    </row>
    <row r="2">
      <c r="A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3"/>
      <c r="H2" s="5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O2" s="5" t="s">
        <v>8</v>
      </c>
      <c r="Q2" s="6" t="s">
        <v>9</v>
      </c>
      <c r="R2" s="6" t="s">
        <v>10</v>
      </c>
      <c r="S2" s="6" t="s">
        <v>11</v>
      </c>
      <c r="T2" s="6" t="s">
        <v>12</v>
      </c>
      <c r="U2" s="3"/>
      <c r="V2" s="5" t="s">
        <v>8</v>
      </c>
      <c r="X2" s="6" t="s">
        <v>9</v>
      </c>
      <c r="Y2" s="6" t="s">
        <v>10</v>
      </c>
      <c r="Z2" s="6" t="s">
        <v>11</v>
      </c>
      <c r="AA2" s="6" t="s">
        <v>12</v>
      </c>
      <c r="AB2" s="3"/>
      <c r="AC2" s="5" t="s">
        <v>8</v>
      </c>
      <c r="AE2" s="6" t="s">
        <v>9</v>
      </c>
      <c r="AF2" s="6" t="s">
        <v>10</v>
      </c>
      <c r="AG2" s="6" t="s">
        <v>11</v>
      </c>
      <c r="AH2" s="6" t="s">
        <v>12</v>
      </c>
      <c r="AJ2" s="5" t="s">
        <v>8</v>
      </c>
      <c r="AL2" s="6" t="s">
        <v>9</v>
      </c>
      <c r="AM2" s="6" t="s">
        <v>10</v>
      </c>
      <c r="AN2" s="6" t="s">
        <v>11</v>
      </c>
      <c r="AO2" s="6" t="s">
        <v>12</v>
      </c>
      <c r="AQ2" s="5"/>
      <c r="AS2" s="6"/>
      <c r="AT2" s="6"/>
      <c r="AU2" s="6"/>
      <c r="AV2" s="6"/>
      <c r="AW2" s="3"/>
      <c r="AZ2" s="6"/>
      <c r="BA2" s="6"/>
      <c r="BB2" s="6"/>
      <c r="BC2" s="6"/>
      <c r="BD2" s="3"/>
      <c r="BG2" s="6"/>
      <c r="BH2" s="6"/>
      <c r="BI2" s="6"/>
      <c r="BJ2" s="6"/>
      <c r="BN2" s="6"/>
      <c r="BO2" s="6"/>
      <c r="BP2" s="6"/>
      <c r="BQ2" s="6"/>
    </row>
    <row r="3">
      <c r="A3" s="7" t="s">
        <v>13</v>
      </c>
      <c r="B3" s="8">
        <v>35.0</v>
      </c>
      <c r="C3" s="8">
        <v>8.0</v>
      </c>
      <c r="D3" s="8">
        <v>10.0</v>
      </c>
      <c r="E3" s="8">
        <v>5.0</v>
      </c>
      <c r="F3" s="8">
        <v>5.0</v>
      </c>
      <c r="G3" s="3"/>
      <c r="H3" s="7" t="s">
        <v>13</v>
      </c>
      <c r="I3" s="8">
        <v>20.0</v>
      </c>
      <c r="J3" s="8">
        <v>7.0</v>
      </c>
      <c r="K3" s="8">
        <v>7.0</v>
      </c>
      <c r="L3" s="8">
        <v>9.0</v>
      </c>
      <c r="M3" s="8">
        <v>8.0</v>
      </c>
      <c r="N3" s="3"/>
      <c r="O3" s="7" t="s">
        <v>13</v>
      </c>
      <c r="P3" s="8">
        <v>25.0</v>
      </c>
      <c r="Q3" s="8">
        <v>8.0</v>
      </c>
      <c r="R3" s="8">
        <v>10.0</v>
      </c>
      <c r="S3" s="8">
        <v>7.0</v>
      </c>
      <c r="T3" s="8">
        <v>7.0</v>
      </c>
      <c r="U3" s="3"/>
      <c r="V3" s="7" t="s">
        <v>13</v>
      </c>
      <c r="W3" s="8">
        <v>30.0</v>
      </c>
      <c r="X3" s="8">
        <v>6.0</v>
      </c>
      <c r="Y3" s="8">
        <v>8.0</v>
      </c>
      <c r="Z3" s="8">
        <v>6.0</v>
      </c>
      <c r="AA3" s="8">
        <v>8.0</v>
      </c>
      <c r="AB3" s="3"/>
      <c r="AC3" s="7" t="s">
        <v>13</v>
      </c>
      <c r="AD3" s="8">
        <v>35.0</v>
      </c>
      <c r="AE3" s="8">
        <v>5.0</v>
      </c>
      <c r="AF3" s="8">
        <v>6.0</v>
      </c>
      <c r="AG3" s="8">
        <v>7.0</v>
      </c>
      <c r="AH3" s="8">
        <v>6.0</v>
      </c>
      <c r="AI3" s="3"/>
      <c r="AJ3" s="7" t="s">
        <v>13</v>
      </c>
      <c r="AK3" s="8">
        <v>30.0</v>
      </c>
      <c r="AL3" s="8">
        <v>5.0</v>
      </c>
      <c r="AM3" s="8">
        <v>6.0</v>
      </c>
      <c r="AN3" s="8">
        <v>8.0</v>
      </c>
      <c r="AO3" s="8">
        <v>7.0</v>
      </c>
      <c r="AP3" s="3"/>
      <c r="AQ3" s="7"/>
      <c r="AR3" s="8"/>
      <c r="AS3" s="8"/>
      <c r="AT3" s="8"/>
      <c r="AU3" s="8"/>
      <c r="AV3" s="8"/>
      <c r="AW3" s="3"/>
      <c r="AX3" s="7"/>
      <c r="AY3" s="8"/>
      <c r="AZ3" s="8"/>
      <c r="BA3" s="8"/>
      <c r="BB3" s="8"/>
      <c r="BC3" s="8"/>
      <c r="BD3" s="3"/>
      <c r="BE3" s="7"/>
      <c r="BF3" s="8"/>
      <c r="BG3" s="8"/>
      <c r="BH3" s="8"/>
      <c r="BI3" s="8"/>
      <c r="BJ3" s="8"/>
      <c r="BK3" s="3"/>
      <c r="BL3" s="7"/>
      <c r="BM3" s="8"/>
      <c r="BN3" s="8"/>
      <c r="BO3" s="8"/>
      <c r="BP3" s="8"/>
      <c r="BQ3" s="8"/>
    </row>
    <row r="4">
      <c r="A4" s="7" t="s">
        <v>14</v>
      </c>
      <c r="B4" s="8">
        <v>10.0</v>
      </c>
      <c r="C4" s="8">
        <v>7.0</v>
      </c>
      <c r="D4" s="8">
        <v>7.0</v>
      </c>
      <c r="E4" s="8">
        <v>2.0</v>
      </c>
      <c r="F4" s="8">
        <v>2.0</v>
      </c>
      <c r="G4" s="3"/>
      <c r="H4" s="7" t="s">
        <v>14</v>
      </c>
      <c r="I4" s="8">
        <v>10.0</v>
      </c>
      <c r="J4" s="8">
        <v>9.0</v>
      </c>
      <c r="K4" s="8">
        <v>9.0</v>
      </c>
      <c r="L4" s="8">
        <v>7.0</v>
      </c>
      <c r="M4" s="8">
        <v>6.0</v>
      </c>
      <c r="N4" s="3"/>
      <c r="O4" s="7" t="s">
        <v>14</v>
      </c>
      <c r="P4" s="8">
        <v>20.0</v>
      </c>
      <c r="Q4" s="8">
        <v>6.0</v>
      </c>
      <c r="R4" s="8">
        <v>8.0</v>
      </c>
      <c r="S4" s="8">
        <v>9.0</v>
      </c>
      <c r="T4" s="8">
        <v>7.0</v>
      </c>
      <c r="U4" s="3"/>
      <c r="V4" s="7" t="s">
        <v>14</v>
      </c>
      <c r="W4" s="8">
        <v>15.0</v>
      </c>
      <c r="X4" s="8">
        <v>7.0</v>
      </c>
      <c r="Y4" s="8">
        <v>8.0</v>
      </c>
      <c r="Z4" s="8">
        <v>7.0</v>
      </c>
      <c r="AA4" s="8">
        <v>4.0</v>
      </c>
      <c r="AB4" s="3"/>
      <c r="AC4" s="7" t="s">
        <v>14</v>
      </c>
      <c r="AD4" s="8">
        <v>15.0</v>
      </c>
      <c r="AE4" s="8">
        <v>6.0</v>
      </c>
      <c r="AF4" s="8">
        <v>8.0</v>
      </c>
      <c r="AG4" s="8">
        <v>7.0</v>
      </c>
      <c r="AH4" s="8">
        <v>5.0</v>
      </c>
      <c r="AI4" s="3"/>
      <c r="AJ4" s="7" t="s">
        <v>14</v>
      </c>
      <c r="AK4" s="8">
        <v>15.0</v>
      </c>
      <c r="AL4" s="8">
        <v>6.0</v>
      </c>
      <c r="AM4" s="8">
        <v>8.0</v>
      </c>
      <c r="AN4" s="8">
        <v>6.0</v>
      </c>
      <c r="AO4" s="8">
        <v>5.0</v>
      </c>
      <c r="AP4" s="3"/>
      <c r="AQ4" s="7"/>
      <c r="AR4" s="8"/>
      <c r="AS4" s="8"/>
      <c r="AT4" s="8"/>
      <c r="AU4" s="8"/>
      <c r="AV4" s="8"/>
      <c r="AW4" s="3"/>
      <c r="AX4" s="7"/>
      <c r="AY4" s="8"/>
      <c r="AZ4" s="8"/>
      <c r="BA4" s="8"/>
      <c r="BB4" s="8"/>
      <c r="BC4" s="8"/>
      <c r="BD4" s="3"/>
      <c r="BE4" s="7"/>
      <c r="BF4" s="8"/>
      <c r="BG4" s="8"/>
      <c r="BH4" s="8"/>
      <c r="BI4" s="8"/>
      <c r="BJ4" s="8"/>
      <c r="BK4" s="3"/>
      <c r="BL4" s="7"/>
      <c r="BM4" s="8"/>
      <c r="BN4" s="8"/>
      <c r="BO4" s="8"/>
      <c r="BP4" s="8"/>
      <c r="BQ4" s="8"/>
    </row>
    <row r="5">
      <c r="A5" s="7" t="s">
        <v>15</v>
      </c>
      <c r="B5" s="8">
        <v>5.0</v>
      </c>
      <c r="C5" s="8">
        <v>8.0</v>
      </c>
      <c r="D5" s="8">
        <v>8.0</v>
      </c>
      <c r="E5" s="8">
        <v>3.0</v>
      </c>
      <c r="F5" s="8">
        <v>3.0</v>
      </c>
      <c r="G5" s="3"/>
      <c r="H5" s="7" t="s">
        <v>15</v>
      </c>
      <c r="I5" s="8">
        <v>8.0</v>
      </c>
      <c r="J5" s="8">
        <v>6.0</v>
      </c>
      <c r="K5" s="8">
        <v>8.0</v>
      </c>
      <c r="L5" s="8">
        <v>5.0</v>
      </c>
      <c r="M5" s="8">
        <v>5.0</v>
      </c>
      <c r="N5" s="3"/>
      <c r="O5" s="7" t="s">
        <v>15</v>
      </c>
      <c r="P5" s="8">
        <v>10.0</v>
      </c>
      <c r="Q5" s="8">
        <v>9.0</v>
      </c>
      <c r="R5" s="8">
        <v>6.0</v>
      </c>
      <c r="S5" s="8">
        <v>8.0</v>
      </c>
      <c r="T5" s="8">
        <v>10.0</v>
      </c>
      <c r="U5" s="3"/>
      <c r="V5" s="7" t="s">
        <v>15</v>
      </c>
      <c r="W5" s="8">
        <v>10.0</v>
      </c>
      <c r="X5" s="8">
        <v>6.0</v>
      </c>
      <c r="Y5" s="8">
        <v>7.0</v>
      </c>
      <c r="Z5" s="8">
        <v>4.0</v>
      </c>
      <c r="AA5" s="8">
        <v>6.0</v>
      </c>
      <c r="AB5" s="3"/>
      <c r="AC5" s="7" t="s">
        <v>15</v>
      </c>
      <c r="AD5" s="8">
        <v>10.0</v>
      </c>
      <c r="AE5" s="8">
        <v>7.0</v>
      </c>
      <c r="AF5" s="8">
        <v>9.0</v>
      </c>
      <c r="AG5" s="8">
        <v>3.0</v>
      </c>
      <c r="AH5" s="8">
        <v>6.0</v>
      </c>
      <c r="AI5" s="3"/>
      <c r="AJ5" s="7" t="s">
        <v>15</v>
      </c>
      <c r="AK5" s="8">
        <v>15.0</v>
      </c>
      <c r="AL5" s="8">
        <v>6.0</v>
      </c>
      <c r="AM5" s="8">
        <v>8.0</v>
      </c>
      <c r="AN5" s="8">
        <v>7.0</v>
      </c>
      <c r="AO5" s="8">
        <v>6.0</v>
      </c>
      <c r="AP5" s="3"/>
      <c r="AQ5" s="7"/>
      <c r="AR5" s="8"/>
      <c r="AS5" s="8"/>
      <c r="AT5" s="8"/>
      <c r="AU5" s="8"/>
      <c r="AV5" s="8"/>
      <c r="AW5" s="3"/>
      <c r="AX5" s="7"/>
      <c r="AY5" s="8"/>
      <c r="AZ5" s="8"/>
      <c r="BA5" s="8"/>
      <c r="BB5" s="8"/>
      <c r="BC5" s="8"/>
      <c r="BD5" s="3"/>
      <c r="BE5" s="7"/>
      <c r="BF5" s="8"/>
      <c r="BG5" s="8"/>
      <c r="BH5" s="8"/>
      <c r="BI5" s="8"/>
      <c r="BJ5" s="8"/>
      <c r="BK5" s="3"/>
      <c r="BL5" s="7"/>
      <c r="BM5" s="8"/>
      <c r="BN5" s="8"/>
      <c r="BO5" s="8"/>
      <c r="BP5" s="8"/>
      <c r="BQ5" s="8"/>
    </row>
    <row r="6">
      <c r="A6" s="7" t="s">
        <v>16</v>
      </c>
      <c r="B6" s="8">
        <v>5.0</v>
      </c>
      <c r="C6" s="8">
        <v>3.0</v>
      </c>
      <c r="D6" s="8">
        <v>5.0</v>
      </c>
      <c r="E6" s="8">
        <v>2.0</v>
      </c>
      <c r="F6" s="8">
        <v>2.0</v>
      </c>
      <c r="G6" s="3"/>
      <c r="H6" s="7" t="s">
        <v>16</v>
      </c>
      <c r="I6" s="8">
        <v>6.0</v>
      </c>
      <c r="J6" s="8">
        <v>4.0</v>
      </c>
      <c r="K6" s="8">
        <v>7.0</v>
      </c>
      <c r="L6" s="8">
        <v>6.0</v>
      </c>
      <c r="M6" s="8">
        <v>6.0</v>
      </c>
      <c r="N6" s="3"/>
      <c r="O6" s="7" t="s">
        <v>16</v>
      </c>
      <c r="P6" s="8">
        <v>10.0</v>
      </c>
      <c r="Q6" s="8">
        <v>4.0</v>
      </c>
      <c r="R6" s="8">
        <v>6.0</v>
      </c>
      <c r="S6" s="8">
        <v>6.0</v>
      </c>
      <c r="T6" s="8">
        <v>5.0</v>
      </c>
      <c r="U6" s="3"/>
      <c r="V6" s="7" t="s">
        <v>16</v>
      </c>
      <c r="W6" s="8">
        <v>10.0</v>
      </c>
      <c r="X6" s="8">
        <v>3.0</v>
      </c>
      <c r="Y6" s="8">
        <v>6.0</v>
      </c>
      <c r="Z6" s="8">
        <v>5.0</v>
      </c>
      <c r="AA6" s="8">
        <v>4.0</v>
      </c>
      <c r="AB6" s="3"/>
      <c r="AC6" s="7" t="s">
        <v>16</v>
      </c>
      <c r="AD6" s="8">
        <v>10.0</v>
      </c>
      <c r="AE6" s="8">
        <v>4.0</v>
      </c>
      <c r="AF6" s="8">
        <v>5.0</v>
      </c>
      <c r="AG6" s="8">
        <v>6.0</v>
      </c>
      <c r="AH6" s="8">
        <v>4.0</v>
      </c>
      <c r="AI6" s="3"/>
      <c r="AJ6" s="7" t="s">
        <v>16</v>
      </c>
      <c r="AK6" s="8">
        <v>10.0</v>
      </c>
      <c r="AL6" s="8">
        <v>2.0</v>
      </c>
      <c r="AM6" s="8">
        <v>3.0</v>
      </c>
      <c r="AN6" s="8">
        <v>6.0</v>
      </c>
      <c r="AO6" s="8">
        <v>5.0</v>
      </c>
      <c r="AP6" s="3"/>
      <c r="AQ6" s="7"/>
      <c r="AR6" s="8"/>
      <c r="AS6" s="8"/>
      <c r="AT6" s="8"/>
      <c r="AU6" s="8"/>
      <c r="AV6" s="8"/>
      <c r="AW6" s="3"/>
      <c r="AX6" s="7"/>
      <c r="AY6" s="8"/>
      <c r="AZ6" s="8"/>
      <c r="BA6" s="8"/>
      <c r="BB6" s="8"/>
      <c r="BC6" s="8"/>
      <c r="BD6" s="3"/>
      <c r="BE6" s="7"/>
      <c r="BF6" s="8"/>
      <c r="BG6" s="8"/>
      <c r="BH6" s="8"/>
      <c r="BI6" s="8"/>
      <c r="BJ6" s="8"/>
      <c r="BK6" s="3"/>
      <c r="BL6" s="7"/>
      <c r="BM6" s="8"/>
      <c r="BN6" s="8"/>
      <c r="BO6" s="8"/>
      <c r="BP6" s="8"/>
      <c r="BQ6" s="8"/>
    </row>
    <row r="7">
      <c r="A7" s="7" t="s">
        <v>17</v>
      </c>
      <c r="B7" s="8">
        <v>10.0</v>
      </c>
      <c r="C7" s="8">
        <v>7.0</v>
      </c>
      <c r="D7" s="8">
        <v>7.0</v>
      </c>
      <c r="E7" s="8">
        <v>5.0</v>
      </c>
      <c r="F7" s="8">
        <v>5.0</v>
      </c>
      <c r="G7" s="3"/>
      <c r="H7" s="7" t="s">
        <v>17</v>
      </c>
      <c r="I7" s="8">
        <v>18.0</v>
      </c>
      <c r="J7" s="8">
        <v>8.0</v>
      </c>
      <c r="K7" s="8">
        <v>10.0</v>
      </c>
      <c r="L7" s="8">
        <v>8.0</v>
      </c>
      <c r="M7" s="8">
        <v>8.0</v>
      </c>
      <c r="N7" s="3"/>
      <c r="O7" s="7" t="s">
        <v>17</v>
      </c>
      <c r="P7" s="8">
        <v>10.0</v>
      </c>
      <c r="Q7" s="8">
        <v>6.0</v>
      </c>
      <c r="R7" s="8">
        <v>9.0</v>
      </c>
      <c r="S7" s="8">
        <v>8.0</v>
      </c>
      <c r="T7" s="8">
        <v>7.0</v>
      </c>
      <c r="U7" s="3"/>
      <c r="V7" s="7" t="s">
        <v>17</v>
      </c>
      <c r="W7" s="8">
        <v>10.0</v>
      </c>
      <c r="X7" s="8">
        <v>7.0</v>
      </c>
      <c r="Y7" s="8">
        <v>7.0</v>
      </c>
      <c r="Z7" s="8">
        <v>6.0</v>
      </c>
      <c r="AA7" s="8">
        <v>5.0</v>
      </c>
      <c r="AB7" s="3"/>
      <c r="AC7" s="7" t="s">
        <v>17</v>
      </c>
      <c r="AD7" s="8">
        <v>10.0</v>
      </c>
      <c r="AE7" s="8">
        <v>7.0</v>
      </c>
      <c r="AF7" s="8">
        <v>7.0</v>
      </c>
      <c r="AG7" s="8">
        <v>6.0</v>
      </c>
      <c r="AH7" s="8">
        <v>6.0</v>
      </c>
      <c r="AI7" s="3"/>
      <c r="AJ7" s="7" t="s">
        <v>17</v>
      </c>
      <c r="AK7" s="8">
        <v>10.0</v>
      </c>
      <c r="AL7" s="8">
        <v>5.0</v>
      </c>
      <c r="AM7" s="8">
        <v>6.0</v>
      </c>
      <c r="AN7" s="8">
        <v>4.0</v>
      </c>
      <c r="AO7" s="8">
        <v>8.0</v>
      </c>
      <c r="AP7" s="3"/>
      <c r="AQ7" s="7"/>
      <c r="AR7" s="8"/>
      <c r="AS7" s="8"/>
      <c r="AT7" s="8"/>
      <c r="AU7" s="8"/>
      <c r="AV7" s="8"/>
      <c r="AW7" s="3"/>
      <c r="AX7" s="7"/>
      <c r="AY7" s="8"/>
      <c r="AZ7" s="8"/>
      <c r="BA7" s="8"/>
      <c r="BB7" s="8"/>
      <c r="BC7" s="8"/>
      <c r="BD7" s="3"/>
      <c r="BE7" s="7"/>
      <c r="BF7" s="8"/>
      <c r="BG7" s="8"/>
      <c r="BH7" s="8"/>
      <c r="BI7" s="8"/>
      <c r="BJ7" s="8"/>
      <c r="BK7" s="3"/>
      <c r="BL7" s="7"/>
      <c r="BM7" s="8"/>
      <c r="BN7" s="8"/>
      <c r="BO7" s="8"/>
      <c r="BP7" s="8"/>
      <c r="BQ7" s="8"/>
    </row>
    <row r="8">
      <c r="A8" s="7" t="s">
        <v>18</v>
      </c>
      <c r="B8" s="8">
        <v>5.0</v>
      </c>
      <c r="C8" s="8">
        <v>5.0</v>
      </c>
      <c r="D8" s="8">
        <v>5.0</v>
      </c>
      <c r="E8" s="8">
        <v>2.0</v>
      </c>
      <c r="F8" s="8">
        <v>2.0</v>
      </c>
      <c r="G8" s="3"/>
      <c r="H8" s="7" t="s">
        <v>18</v>
      </c>
      <c r="I8" s="8">
        <v>8.0</v>
      </c>
      <c r="J8" s="8">
        <v>8.0</v>
      </c>
      <c r="K8" s="8">
        <v>7.0</v>
      </c>
      <c r="L8" s="8">
        <v>9.0</v>
      </c>
      <c r="M8" s="8">
        <v>8.0</v>
      </c>
      <c r="N8" s="3"/>
      <c r="O8" s="7" t="s">
        <v>18</v>
      </c>
      <c r="P8" s="8">
        <v>10.0</v>
      </c>
      <c r="Q8" s="8">
        <v>5.0</v>
      </c>
      <c r="R8" s="8">
        <v>7.0</v>
      </c>
      <c r="S8" s="8">
        <v>9.0</v>
      </c>
      <c r="T8" s="8">
        <v>7.0</v>
      </c>
      <c r="U8" s="3"/>
      <c r="V8" s="7" t="s">
        <v>18</v>
      </c>
      <c r="W8" s="8">
        <v>10.0</v>
      </c>
      <c r="X8" s="8">
        <v>4.0</v>
      </c>
      <c r="Y8" s="8">
        <v>8.0</v>
      </c>
      <c r="Z8" s="8">
        <v>6.0</v>
      </c>
      <c r="AA8" s="8">
        <v>6.0</v>
      </c>
      <c r="AB8" s="3"/>
      <c r="AC8" s="7" t="s">
        <v>18</v>
      </c>
      <c r="AD8" s="8">
        <v>5.0</v>
      </c>
      <c r="AE8" s="8">
        <v>7.0</v>
      </c>
      <c r="AF8" s="8">
        <v>8.0</v>
      </c>
      <c r="AG8" s="8">
        <v>3.0</v>
      </c>
      <c r="AH8" s="8">
        <v>5.0</v>
      </c>
      <c r="AI8" s="3"/>
      <c r="AJ8" s="7" t="s">
        <v>18</v>
      </c>
      <c r="AK8" s="8">
        <v>5.0</v>
      </c>
      <c r="AL8" s="8">
        <v>4.0</v>
      </c>
      <c r="AM8" s="8">
        <v>6.0</v>
      </c>
      <c r="AN8" s="8">
        <v>8.0</v>
      </c>
      <c r="AO8" s="8">
        <v>8.0</v>
      </c>
      <c r="AP8" s="3"/>
      <c r="AQ8" s="7"/>
      <c r="AR8" s="8"/>
      <c r="AS8" s="8"/>
      <c r="AT8" s="8"/>
      <c r="AU8" s="8"/>
      <c r="AV8" s="8"/>
      <c r="AW8" s="3"/>
      <c r="AX8" s="7"/>
      <c r="AY8" s="8"/>
      <c r="AZ8" s="8"/>
      <c r="BA8" s="8"/>
      <c r="BB8" s="8"/>
      <c r="BC8" s="8"/>
      <c r="BD8" s="3"/>
      <c r="BE8" s="7"/>
      <c r="BF8" s="8"/>
      <c r="BG8" s="8"/>
      <c r="BH8" s="8"/>
      <c r="BI8" s="8"/>
      <c r="BJ8" s="8"/>
      <c r="BK8" s="3"/>
      <c r="BL8" s="7"/>
      <c r="BM8" s="8"/>
      <c r="BN8" s="8"/>
      <c r="BO8" s="8"/>
      <c r="BP8" s="8"/>
      <c r="BQ8" s="8"/>
    </row>
    <row r="9">
      <c r="A9" s="7" t="s">
        <v>19</v>
      </c>
      <c r="B9" s="8">
        <v>25.0</v>
      </c>
      <c r="C9" s="8">
        <v>8.0</v>
      </c>
      <c r="D9" s="8">
        <v>8.0</v>
      </c>
      <c r="E9" s="8">
        <v>5.0</v>
      </c>
      <c r="F9" s="8">
        <v>5.0</v>
      </c>
      <c r="G9" s="3"/>
      <c r="H9" s="7" t="s">
        <v>19</v>
      </c>
      <c r="I9" s="8">
        <v>15.0</v>
      </c>
      <c r="J9" s="8">
        <v>7.0</v>
      </c>
      <c r="K9" s="8">
        <v>9.0</v>
      </c>
      <c r="L9" s="8">
        <v>9.0</v>
      </c>
      <c r="M9" s="8">
        <v>7.0</v>
      </c>
      <c r="N9" s="3"/>
      <c r="O9" s="7" t="s">
        <v>19</v>
      </c>
      <c r="P9" s="8">
        <v>5.0</v>
      </c>
      <c r="Q9" s="8">
        <v>5.0</v>
      </c>
      <c r="R9" s="8">
        <v>5.0</v>
      </c>
      <c r="S9" s="8">
        <v>9.0</v>
      </c>
      <c r="T9" s="8">
        <v>6.0</v>
      </c>
      <c r="U9" s="3"/>
      <c r="V9" s="7" t="s">
        <v>19</v>
      </c>
      <c r="W9" s="8">
        <v>5.0</v>
      </c>
      <c r="X9" s="8">
        <v>2.0</v>
      </c>
      <c r="Y9" s="8">
        <v>8.0</v>
      </c>
      <c r="Z9" s="8">
        <v>6.0</v>
      </c>
      <c r="AA9" s="8">
        <v>7.0</v>
      </c>
      <c r="AB9" s="3"/>
      <c r="AC9" s="7" t="s">
        <v>19</v>
      </c>
      <c r="AD9" s="8">
        <v>5.0</v>
      </c>
      <c r="AE9" s="8">
        <v>7.0</v>
      </c>
      <c r="AF9" s="8">
        <v>7.0</v>
      </c>
      <c r="AG9" s="8">
        <v>5.0</v>
      </c>
      <c r="AH9" s="8">
        <v>4.0</v>
      </c>
      <c r="AI9" s="3"/>
      <c r="AJ9" s="7" t="s">
        <v>19</v>
      </c>
      <c r="AK9" s="8">
        <v>5.0</v>
      </c>
      <c r="AL9" s="8">
        <v>5.0</v>
      </c>
      <c r="AM9" s="8">
        <v>6.0</v>
      </c>
      <c r="AN9" s="8">
        <v>9.0</v>
      </c>
      <c r="AO9" s="8">
        <v>8.0</v>
      </c>
      <c r="AP9" s="3"/>
      <c r="AQ9" s="7"/>
      <c r="AR9" s="8"/>
      <c r="AS9" s="8"/>
      <c r="AT9" s="8"/>
      <c r="AU9" s="8"/>
      <c r="AV9" s="8"/>
      <c r="AW9" s="3"/>
      <c r="AX9" s="7"/>
      <c r="AY9" s="8"/>
      <c r="AZ9" s="8"/>
      <c r="BA9" s="8"/>
      <c r="BB9" s="8"/>
      <c r="BC9" s="8"/>
      <c r="BD9" s="3"/>
      <c r="BE9" s="7"/>
      <c r="BF9" s="8"/>
      <c r="BG9" s="8"/>
      <c r="BH9" s="8"/>
      <c r="BI9" s="8"/>
      <c r="BJ9" s="8"/>
      <c r="BK9" s="3"/>
      <c r="BL9" s="7"/>
      <c r="BM9" s="8"/>
      <c r="BN9" s="8"/>
      <c r="BO9" s="8"/>
      <c r="BP9" s="8"/>
      <c r="BQ9" s="8"/>
    </row>
    <row r="10">
      <c r="A10" s="7" t="s">
        <v>20</v>
      </c>
      <c r="B10" s="8">
        <v>5.0</v>
      </c>
      <c r="C10" s="8">
        <v>9.0</v>
      </c>
      <c r="D10" s="8">
        <v>9.0</v>
      </c>
      <c r="E10" s="8">
        <v>4.0</v>
      </c>
      <c r="F10" s="8">
        <v>4.0</v>
      </c>
      <c r="G10" s="3"/>
      <c r="H10" s="7" t="s">
        <v>20</v>
      </c>
      <c r="I10" s="8">
        <v>15.0</v>
      </c>
      <c r="J10" s="8">
        <v>8.0</v>
      </c>
      <c r="K10" s="8">
        <v>10.0</v>
      </c>
      <c r="L10" s="8">
        <v>6.0</v>
      </c>
      <c r="M10" s="8">
        <v>5.0</v>
      </c>
      <c r="N10" s="3"/>
      <c r="O10" s="7" t="s">
        <v>20</v>
      </c>
      <c r="P10" s="8">
        <v>10.0</v>
      </c>
      <c r="Q10" s="8">
        <v>7.0</v>
      </c>
      <c r="R10" s="8">
        <v>9.0</v>
      </c>
      <c r="S10" s="8">
        <v>5.0</v>
      </c>
      <c r="T10" s="8">
        <v>8.0</v>
      </c>
      <c r="U10" s="3"/>
      <c r="V10" s="7" t="s">
        <v>20</v>
      </c>
      <c r="W10" s="8">
        <v>10.0</v>
      </c>
      <c r="X10" s="8">
        <v>8.0</v>
      </c>
      <c r="Y10" s="8">
        <v>9.0</v>
      </c>
      <c r="Z10" s="8">
        <v>6.0</v>
      </c>
      <c r="AA10" s="8">
        <v>7.0</v>
      </c>
      <c r="AB10" s="3"/>
      <c r="AC10" s="7" t="s">
        <v>20</v>
      </c>
      <c r="AD10" s="8">
        <v>10.0</v>
      </c>
      <c r="AE10" s="8">
        <v>8.0</v>
      </c>
      <c r="AF10" s="8">
        <v>9.0</v>
      </c>
      <c r="AG10" s="8">
        <v>6.0</v>
      </c>
      <c r="AH10" s="8">
        <v>8.0</v>
      </c>
      <c r="AI10" s="3"/>
      <c r="AJ10" s="7" t="s">
        <v>20</v>
      </c>
      <c r="AK10" s="8">
        <v>10.0</v>
      </c>
      <c r="AL10" s="8">
        <v>8.0</v>
      </c>
      <c r="AM10" s="8">
        <v>7.0</v>
      </c>
      <c r="AN10" s="8">
        <v>6.0</v>
      </c>
      <c r="AO10" s="8">
        <v>8.0</v>
      </c>
      <c r="AP10" s="3"/>
      <c r="AQ10" s="7"/>
      <c r="AR10" s="8"/>
      <c r="AS10" s="8"/>
      <c r="AT10" s="8"/>
      <c r="AU10" s="8"/>
      <c r="AV10" s="8"/>
      <c r="AW10" s="3"/>
      <c r="AX10" s="7"/>
      <c r="AY10" s="8"/>
      <c r="AZ10" s="8"/>
      <c r="BA10" s="8"/>
      <c r="BB10" s="8"/>
      <c r="BC10" s="8"/>
      <c r="BD10" s="3"/>
      <c r="BE10" s="7"/>
      <c r="BF10" s="8"/>
      <c r="BG10" s="8"/>
      <c r="BH10" s="8"/>
      <c r="BI10" s="8"/>
      <c r="BJ10" s="8"/>
      <c r="BK10" s="3"/>
      <c r="BL10" s="7"/>
      <c r="BM10" s="8"/>
      <c r="BN10" s="8"/>
      <c r="BO10" s="8"/>
      <c r="BP10" s="8"/>
      <c r="BQ10" s="8"/>
    </row>
    <row r="11">
      <c r="A11" s="2" t="s">
        <v>21</v>
      </c>
      <c r="B11" s="9">
        <f>SUM(B2:B10)</f>
        <v>100</v>
      </c>
      <c r="C11" s="9">
        <f t="shared" ref="C11:F11" si="1">SUMPRODUCT($B3:$B10,C3:C10)/10</f>
        <v>74.5</v>
      </c>
      <c r="D11" s="9">
        <f t="shared" si="1"/>
        <v>82.5</v>
      </c>
      <c r="E11" s="9">
        <f t="shared" si="1"/>
        <v>42.5</v>
      </c>
      <c r="F11" s="9">
        <f t="shared" si="1"/>
        <v>42.5</v>
      </c>
      <c r="G11" s="3"/>
      <c r="H11" s="2" t="s">
        <v>21</v>
      </c>
      <c r="I11" s="9">
        <f>SUM(I2:I10)</f>
        <v>100</v>
      </c>
      <c r="J11" s="9">
        <f t="shared" ref="J11:M11" si="2">SUMPRODUCT($B3:$B10,J3:J10)/10</f>
        <v>72</v>
      </c>
      <c r="K11" s="9">
        <f t="shared" si="2"/>
        <v>82</v>
      </c>
      <c r="L11" s="9">
        <f t="shared" si="2"/>
        <v>82</v>
      </c>
      <c r="M11" s="9">
        <f t="shared" si="2"/>
        <v>71.5</v>
      </c>
      <c r="N11" s="2"/>
      <c r="O11" s="2" t="s">
        <v>21</v>
      </c>
      <c r="P11" s="9">
        <f>SUM(P2:P10)</f>
        <v>100</v>
      </c>
      <c r="Q11" s="9">
        <f t="shared" ref="Q11:T11" si="3">SUMPRODUCT($B3:$B10,Q3:Q10)/10</f>
        <v>65</v>
      </c>
      <c r="R11" s="9">
        <f t="shared" si="3"/>
        <v>78.5</v>
      </c>
      <c r="S11" s="9">
        <f t="shared" si="3"/>
        <v>78</v>
      </c>
      <c r="T11" s="9">
        <f t="shared" si="3"/>
        <v>68.5</v>
      </c>
      <c r="U11" s="3"/>
      <c r="V11" s="2" t="s">
        <v>21</v>
      </c>
      <c r="W11" s="9">
        <f>SUM(W2:W10)</f>
        <v>100</v>
      </c>
      <c r="X11" s="9">
        <f t="shared" ref="X11:AA11" si="4">SUMPRODUCT($B3:$B10,X3:X10)/10</f>
        <v>50.5</v>
      </c>
      <c r="Y11" s="9">
        <f t="shared" si="4"/>
        <v>78</v>
      </c>
      <c r="Z11" s="9">
        <f t="shared" si="4"/>
        <v>59.5</v>
      </c>
      <c r="AA11" s="9">
        <f t="shared" si="4"/>
        <v>66</v>
      </c>
      <c r="AB11" s="3"/>
      <c r="AC11" s="2" t="s">
        <v>21</v>
      </c>
      <c r="AD11" s="9">
        <f>SUM(AD2:AD10)</f>
        <v>100</v>
      </c>
      <c r="AE11" s="9">
        <f t="shared" ref="AE11:AH11" si="5">SUMPRODUCT($B3:$B10,AE3:AE10)/10</f>
        <v>61</v>
      </c>
      <c r="AF11" s="9">
        <f t="shared" si="5"/>
        <v>69</v>
      </c>
      <c r="AG11" s="9">
        <f t="shared" si="5"/>
        <v>59</v>
      </c>
      <c r="AH11" s="9">
        <f t="shared" si="5"/>
        <v>53.5</v>
      </c>
      <c r="AI11" s="2"/>
      <c r="AJ11" s="2" t="s">
        <v>21</v>
      </c>
      <c r="AK11" s="9">
        <f>SUM(AK2:AK10)</f>
        <v>100</v>
      </c>
      <c r="AL11" s="9">
        <f t="shared" ref="AL11:AO11" si="6">SUMPRODUCT($B3:$B10,AL3:AL10)/10</f>
        <v>51</v>
      </c>
      <c r="AM11" s="9">
        <f t="shared" si="6"/>
        <v>62</v>
      </c>
      <c r="AN11" s="9">
        <f t="shared" si="6"/>
        <v>74</v>
      </c>
      <c r="AO11" s="9">
        <f t="shared" si="6"/>
        <v>71</v>
      </c>
      <c r="AP11" s="2"/>
      <c r="AQ11" s="2"/>
      <c r="AR11" s="10"/>
      <c r="AS11" s="10"/>
      <c r="AT11" s="10"/>
      <c r="AU11" s="10"/>
      <c r="AV11" s="10"/>
      <c r="AW11" s="3"/>
      <c r="AX11" s="2"/>
      <c r="AY11" s="10"/>
      <c r="AZ11" s="10"/>
      <c r="BA11" s="10"/>
      <c r="BB11" s="10"/>
      <c r="BC11" s="10"/>
      <c r="BD11" s="3"/>
      <c r="BE11" s="2"/>
      <c r="BF11" s="10"/>
      <c r="BG11" s="10"/>
      <c r="BH11" s="10"/>
      <c r="BI11" s="10"/>
      <c r="BJ11" s="10"/>
      <c r="BK11" s="2"/>
      <c r="BL11" s="2"/>
      <c r="BM11" s="10"/>
      <c r="BN11" s="10"/>
      <c r="BO11" s="10"/>
      <c r="BP11" s="10"/>
      <c r="BQ11" s="10"/>
    </row>
    <row r="12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>
      <c r="A13" s="11" t="s">
        <v>22</v>
      </c>
      <c r="B13" s="3"/>
      <c r="C13" s="3"/>
      <c r="D13" s="3"/>
      <c r="E13" s="3"/>
      <c r="F13" s="3"/>
      <c r="G13" s="3"/>
      <c r="H13" s="11" t="s">
        <v>22</v>
      </c>
      <c r="I13" s="3"/>
      <c r="J13" s="3"/>
      <c r="K13" s="3"/>
      <c r="L13" s="3"/>
      <c r="M13" s="3"/>
      <c r="N13" s="3"/>
      <c r="O13" s="11" t="s">
        <v>22</v>
      </c>
      <c r="P13" s="3"/>
      <c r="Q13" s="3"/>
      <c r="R13" s="3"/>
      <c r="S13" s="3"/>
      <c r="T13" s="3"/>
      <c r="U13" s="3"/>
      <c r="V13" s="11" t="s">
        <v>22</v>
      </c>
      <c r="W13" s="3"/>
      <c r="X13" s="3"/>
      <c r="Y13" s="3"/>
      <c r="Z13" s="3"/>
      <c r="AA13" s="3"/>
      <c r="AB13" s="3"/>
      <c r="AC13" s="11" t="s">
        <v>22</v>
      </c>
      <c r="AD13" s="3"/>
      <c r="AE13" s="3"/>
      <c r="AF13" s="3"/>
      <c r="AG13" s="3"/>
      <c r="AH13" s="3"/>
      <c r="AI13" s="3"/>
      <c r="AJ13" s="11" t="s">
        <v>22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>
      <c r="A14" s="12" t="s">
        <v>23</v>
      </c>
      <c r="B14" s="3"/>
      <c r="C14" s="3"/>
      <c r="D14" s="3"/>
      <c r="E14" s="3"/>
      <c r="F14" s="3"/>
      <c r="G14" s="3"/>
      <c r="H14" s="12" t="s">
        <v>23</v>
      </c>
      <c r="I14" s="3"/>
      <c r="J14" s="3"/>
      <c r="K14" s="3"/>
      <c r="L14" s="3"/>
      <c r="M14" s="3"/>
      <c r="N14" s="3"/>
      <c r="O14" s="12" t="s">
        <v>23</v>
      </c>
      <c r="P14" s="3"/>
      <c r="Q14" s="3"/>
      <c r="R14" s="3"/>
      <c r="S14" s="3"/>
      <c r="T14" s="3"/>
      <c r="U14" s="3"/>
      <c r="V14" s="12" t="s">
        <v>23</v>
      </c>
      <c r="W14" s="3"/>
      <c r="X14" s="3"/>
      <c r="Y14" s="3"/>
      <c r="Z14" s="3"/>
      <c r="AA14" s="3"/>
      <c r="AB14" s="3"/>
      <c r="AC14" s="12" t="s">
        <v>23</v>
      </c>
      <c r="AD14" s="3"/>
      <c r="AE14" s="3"/>
      <c r="AF14" s="3"/>
      <c r="AG14" s="3"/>
      <c r="AH14" s="3"/>
      <c r="AI14" s="3"/>
      <c r="AJ14" s="12" t="s">
        <v>23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>
      <c r="A15" s="12" t="s">
        <v>24</v>
      </c>
      <c r="B15" s="3"/>
      <c r="C15" s="3"/>
      <c r="D15" s="3"/>
      <c r="E15" s="3"/>
      <c r="F15" s="3"/>
      <c r="G15" s="3"/>
      <c r="H15" s="12" t="s">
        <v>24</v>
      </c>
      <c r="I15" s="3"/>
      <c r="J15" s="3"/>
      <c r="K15" s="3"/>
      <c r="L15" s="3"/>
      <c r="M15" s="3"/>
      <c r="N15" s="3"/>
      <c r="O15" s="12" t="s">
        <v>24</v>
      </c>
      <c r="P15" s="3"/>
      <c r="Q15" s="3"/>
      <c r="R15" s="3"/>
      <c r="S15" s="3"/>
      <c r="T15" s="3"/>
      <c r="U15" s="3"/>
      <c r="V15" s="12" t="s">
        <v>24</v>
      </c>
      <c r="W15" s="3"/>
      <c r="X15" s="3"/>
      <c r="Y15" s="3"/>
      <c r="Z15" s="3"/>
      <c r="AA15" s="3"/>
      <c r="AB15" s="3"/>
      <c r="AC15" s="12" t="s">
        <v>24</v>
      </c>
      <c r="AD15" s="3"/>
      <c r="AE15" s="3"/>
      <c r="AF15" s="3"/>
      <c r="AG15" s="3"/>
      <c r="AH15" s="3"/>
      <c r="AI15" s="3"/>
      <c r="AJ15" s="12" t="s">
        <v>24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>
      <c r="A16" s="1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>
      <c r="A19" s="14" t="s">
        <v>25</v>
      </c>
      <c r="B19" s="14" t="s">
        <v>1</v>
      </c>
      <c r="C19" s="14" t="s">
        <v>2</v>
      </c>
      <c r="D19" s="15"/>
      <c r="E19" s="15"/>
      <c r="F19" s="15"/>
      <c r="G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>
      <c r="C20" s="6" t="s">
        <v>9</v>
      </c>
      <c r="D20" s="6" t="s">
        <v>10</v>
      </c>
      <c r="E20" s="6" t="s">
        <v>11</v>
      </c>
      <c r="F20" s="6" t="s">
        <v>12</v>
      </c>
      <c r="I20" s="4" t="s">
        <v>26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>
      <c r="A21" s="7" t="s">
        <v>13</v>
      </c>
      <c r="B21" s="16">
        <f t="shared" ref="B21:F21" si="7">AVERAGE(B3,I3,P3,W3,AD3,AK3)</f>
        <v>29.16666667</v>
      </c>
      <c r="C21" s="17">
        <f t="shared" si="7"/>
        <v>6.5</v>
      </c>
      <c r="D21" s="17">
        <f t="shared" si="7"/>
        <v>7.833333333</v>
      </c>
      <c r="E21" s="17">
        <f t="shared" si="7"/>
        <v>7</v>
      </c>
      <c r="F21" s="17">
        <f t="shared" si="7"/>
        <v>6.833333333</v>
      </c>
      <c r="I21" s="18">
        <f t="shared" ref="I21:I28" si="9">B21/$B$29</f>
        <v>0.2916666667</v>
      </c>
      <c r="J21" s="19">
        <v>29.17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>
      <c r="A22" s="7" t="s">
        <v>14</v>
      </c>
      <c r="B22" s="16">
        <f t="shared" ref="B22:F22" si="8">AVERAGE(B4,I4,P4,W4,AD4,AK4)</f>
        <v>14.16666667</v>
      </c>
      <c r="C22" s="17">
        <f t="shared" si="8"/>
        <v>6.833333333</v>
      </c>
      <c r="D22" s="17">
        <f t="shared" si="8"/>
        <v>8</v>
      </c>
      <c r="E22" s="17">
        <f t="shared" si="8"/>
        <v>6.333333333</v>
      </c>
      <c r="F22" s="17">
        <f t="shared" si="8"/>
        <v>4.833333333</v>
      </c>
      <c r="I22" s="18">
        <f t="shared" si="9"/>
        <v>0.1416666667</v>
      </c>
      <c r="J22" s="19">
        <v>14.17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>
      <c r="A23" s="7" t="s">
        <v>15</v>
      </c>
      <c r="B23" s="16">
        <f t="shared" ref="B23:F23" si="10">AVERAGE(B5,I5,P5,W5,AD5,AK5)</f>
        <v>9.666666667</v>
      </c>
      <c r="C23" s="17">
        <f t="shared" si="10"/>
        <v>7</v>
      </c>
      <c r="D23" s="17">
        <f t="shared" si="10"/>
        <v>7.666666667</v>
      </c>
      <c r="E23" s="17">
        <f t="shared" si="10"/>
        <v>5</v>
      </c>
      <c r="F23" s="17">
        <f t="shared" si="10"/>
        <v>6</v>
      </c>
      <c r="I23" s="18">
        <f t="shared" si="9"/>
        <v>0.09666666667</v>
      </c>
      <c r="J23" s="19">
        <v>9.67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>
      <c r="A24" s="7" t="s">
        <v>16</v>
      </c>
      <c r="B24" s="16">
        <f t="shared" ref="B24:F24" si="11">AVERAGE(B6,I6,P6,W6,AD6,AK6)</f>
        <v>8.5</v>
      </c>
      <c r="C24" s="17">
        <f t="shared" si="11"/>
        <v>3.333333333</v>
      </c>
      <c r="D24" s="17">
        <f t="shared" si="11"/>
        <v>5.333333333</v>
      </c>
      <c r="E24" s="17">
        <f t="shared" si="11"/>
        <v>5.166666667</v>
      </c>
      <c r="F24" s="17">
        <f t="shared" si="11"/>
        <v>4.333333333</v>
      </c>
      <c r="I24" s="18">
        <f t="shared" si="9"/>
        <v>0.085</v>
      </c>
      <c r="J24" s="20">
        <v>8.5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>
      <c r="A25" s="7" t="s">
        <v>17</v>
      </c>
      <c r="B25" s="16">
        <f t="shared" ref="B25:F25" si="12">AVERAGE(B7,I7,P7,W7,AD7,AK7)</f>
        <v>11.33333333</v>
      </c>
      <c r="C25" s="17">
        <f t="shared" si="12"/>
        <v>6.666666667</v>
      </c>
      <c r="D25" s="17">
        <f t="shared" si="12"/>
        <v>7.666666667</v>
      </c>
      <c r="E25" s="17">
        <f t="shared" si="12"/>
        <v>6.166666667</v>
      </c>
      <c r="F25" s="17">
        <f t="shared" si="12"/>
        <v>6.5</v>
      </c>
      <c r="I25" s="18">
        <f t="shared" si="9"/>
        <v>0.1133333333</v>
      </c>
      <c r="J25" s="19">
        <v>11.33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>
      <c r="A26" s="7" t="s">
        <v>18</v>
      </c>
      <c r="B26" s="16">
        <f t="shared" ref="B26:F26" si="13">AVERAGE(B8,I8,P8,W8,AD8,AK8)</f>
        <v>7.166666667</v>
      </c>
      <c r="C26" s="17">
        <f t="shared" si="13"/>
        <v>5.5</v>
      </c>
      <c r="D26" s="17">
        <f t="shared" si="13"/>
        <v>6.833333333</v>
      </c>
      <c r="E26" s="17">
        <f t="shared" si="13"/>
        <v>6.166666667</v>
      </c>
      <c r="F26" s="17">
        <f t="shared" si="13"/>
        <v>6</v>
      </c>
      <c r="I26" s="18">
        <f t="shared" si="9"/>
        <v>0.07166666667</v>
      </c>
      <c r="J26" s="19">
        <v>7.17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>
      <c r="A27" s="7" t="s">
        <v>19</v>
      </c>
      <c r="B27" s="16">
        <f t="shared" ref="B27:F27" si="14">AVERAGE(B9,I9,P9,W9,AD9,AK9)</f>
        <v>10</v>
      </c>
      <c r="C27" s="17">
        <f t="shared" si="14"/>
        <v>5.666666667</v>
      </c>
      <c r="D27" s="17">
        <f t="shared" si="14"/>
        <v>7.166666667</v>
      </c>
      <c r="E27" s="17">
        <f t="shared" si="14"/>
        <v>7.166666667</v>
      </c>
      <c r="F27" s="17">
        <f t="shared" si="14"/>
        <v>6.166666667</v>
      </c>
      <c r="I27" s="18">
        <f t="shared" si="9"/>
        <v>0.1</v>
      </c>
      <c r="J27" s="20">
        <v>10.0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>
      <c r="A28" s="7" t="s">
        <v>20</v>
      </c>
      <c r="B28" s="16">
        <f t="shared" ref="B28:F28" si="15">AVERAGE(B10,I10,P10,W10,AD10,AK10)</f>
        <v>10</v>
      </c>
      <c r="C28" s="17">
        <f t="shared" si="15"/>
        <v>8</v>
      </c>
      <c r="D28" s="17">
        <f t="shared" si="15"/>
        <v>8.833333333</v>
      </c>
      <c r="E28" s="17">
        <f t="shared" si="15"/>
        <v>5.5</v>
      </c>
      <c r="F28" s="17">
        <f t="shared" si="15"/>
        <v>6.666666667</v>
      </c>
      <c r="I28" s="18">
        <f t="shared" si="9"/>
        <v>0.1</v>
      </c>
      <c r="J28" s="20">
        <v>10.0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>
      <c r="A29" s="14" t="s">
        <v>27</v>
      </c>
      <c r="B29" s="21">
        <f>SUM(B21:B28)</f>
        <v>100</v>
      </c>
      <c r="C29" s="21">
        <f t="shared" ref="C29:F29" si="16">SUMPRODUCT($I$21:$I$28,C21:C28)</f>
        <v>6.340277778</v>
      </c>
      <c r="D29" s="21">
        <f t="shared" si="16"/>
        <v>7.571111111</v>
      </c>
      <c r="E29" s="21">
        <f t="shared" si="16"/>
        <v>6.268888889</v>
      </c>
      <c r="F29" s="21">
        <f t="shared" si="16"/>
        <v>6.076111111</v>
      </c>
      <c r="I29" s="22">
        <f t="shared" ref="I29:J29" si="17">SUM(I21:I28)</f>
        <v>1</v>
      </c>
      <c r="J29" s="20">
        <f t="shared" si="17"/>
        <v>100.01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</sheetData>
  <mergeCells count="19">
    <mergeCell ref="BK1:BK2"/>
    <mergeCell ref="BL1:BL2"/>
    <mergeCell ref="BM1:BM2"/>
    <mergeCell ref="AK1:AK2"/>
    <mergeCell ref="AP1:AP2"/>
    <mergeCell ref="AR1:AR2"/>
    <mergeCell ref="AX1:AX2"/>
    <mergeCell ref="AY1:AY2"/>
    <mergeCell ref="BE1:BE2"/>
    <mergeCell ref="BF1:BF2"/>
    <mergeCell ref="A19:A20"/>
    <mergeCell ref="B19:B20"/>
    <mergeCell ref="B1:B2"/>
    <mergeCell ref="I1:I2"/>
    <mergeCell ref="N1:N2"/>
    <mergeCell ref="P1:P2"/>
    <mergeCell ref="W1:W2"/>
    <mergeCell ref="AD1:AD2"/>
    <mergeCell ref="AI1:A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25</v>
      </c>
      <c r="B1" s="23" t="s">
        <v>1</v>
      </c>
      <c r="C1" s="4" t="s">
        <v>9</v>
      </c>
      <c r="D1" s="4" t="s">
        <v>10</v>
      </c>
      <c r="E1" s="4" t="s">
        <v>11</v>
      </c>
      <c r="F1" s="4" t="s">
        <v>12</v>
      </c>
    </row>
    <row r="2">
      <c r="A2" s="4" t="s">
        <v>13</v>
      </c>
      <c r="B2" s="24">
        <v>29.166666666666668</v>
      </c>
      <c r="C2" s="25">
        <v>6.5</v>
      </c>
      <c r="D2" s="25">
        <v>7.833333333333333</v>
      </c>
      <c r="E2" s="25">
        <v>7.0</v>
      </c>
      <c r="F2" s="25">
        <v>6.833333333333333</v>
      </c>
    </row>
    <row r="3">
      <c r="A3" s="4" t="s">
        <v>14</v>
      </c>
      <c r="B3" s="24">
        <v>14.166666666666666</v>
      </c>
      <c r="C3" s="25">
        <v>6.833333333333333</v>
      </c>
      <c r="D3" s="25">
        <v>8.0</v>
      </c>
      <c r="E3" s="25">
        <v>6.333333333333333</v>
      </c>
      <c r="F3" s="25">
        <v>4.833333333333333</v>
      </c>
    </row>
    <row r="4">
      <c r="A4" s="4" t="s">
        <v>17</v>
      </c>
      <c r="B4" s="24">
        <v>11.333333333333334</v>
      </c>
      <c r="C4" s="25">
        <v>6.666666666666667</v>
      </c>
      <c r="D4" s="25">
        <v>7.666666666666667</v>
      </c>
      <c r="E4" s="25">
        <v>6.166666666666667</v>
      </c>
      <c r="F4" s="25">
        <v>6.5</v>
      </c>
    </row>
    <row r="5">
      <c r="A5" s="4" t="s">
        <v>19</v>
      </c>
      <c r="B5" s="24">
        <v>10.0</v>
      </c>
      <c r="C5" s="25">
        <v>5.666666666666667</v>
      </c>
      <c r="D5" s="25">
        <v>7.166666666666667</v>
      </c>
      <c r="E5" s="25">
        <v>7.166666666666667</v>
      </c>
      <c r="F5" s="25">
        <v>6.166666666666667</v>
      </c>
    </row>
    <row r="6">
      <c r="A6" s="4" t="s">
        <v>20</v>
      </c>
      <c r="B6" s="24">
        <v>10.0</v>
      </c>
      <c r="C6" s="25">
        <v>8.0</v>
      </c>
      <c r="D6" s="25">
        <v>8.833333333333334</v>
      </c>
      <c r="E6" s="25">
        <v>5.5</v>
      </c>
      <c r="F6" s="25">
        <v>6.666666666666667</v>
      </c>
    </row>
    <row r="7">
      <c r="A7" s="4" t="s">
        <v>15</v>
      </c>
      <c r="B7" s="24">
        <v>9.666666666666666</v>
      </c>
      <c r="C7" s="25">
        <v>7.0</v>
      </c>
      <c r="D7" s="25">
        <v>7.666666666666667</v>
      </c>
      <c r="E7" s="25">
        <v>5.0</v>
      </c>
      <c r="F7" s="25">
        <v>6.0</v>
      </c>
    </row>
    <row r="8">
      <c r="A8" s="4" t="s">
        <v>16</v>
      </c>
      <c r="B8" s="24">
        <v>8.5</v>
      </c>
      <c r="C8" s="25">
        <v>3.3333333333333335</v>
      </c>
      <c r="D8" s="25">
        <v>5.333333333333333</v>
      </c>
      <c r="E8" s="25">
        <v>5.166666666666667</v>
      </c>
      <c r="F8" s="25">
        <v>4.333333333333333</v>
      </c>
    </row>
    <row r="9">
      <c r="A9" s="4" t="s">
        <v>18</v>
      </c>
      <c r="B9" s="24">
        <v>7.166666666666667</v>
      </c>
      <c r="C9" s="25">
        <v>5.5</v>
      </c>
      <c r="D9" s="25">
        <v>6.833333333333333</v>
      </c>
      <c r="E9" s="25">
        <v>6.166666666666667</v>
      </c>
      <c r="F9" s="25">
        <v>6.0</v>
      </c>
    </row>
    <row r="10">
      <c r="A10" s="23" t="s">
        <v>27</v>
      </c>
      <c r="B10" s="23">
        <v>100.0</v>
      </c>
      <c r="C10" s="23">
        <v>6.340277777777778</v>
      </c>
      <c r="D10" s="23">
        <v>7.571111111111112</v>
      </c>
      <c r="E10" s="23">
        <v>6.268888888888889</v>
      </c>
      <c r="F10" s="23">
        <v>6.0761111111111115</v>
      </c>
    </row>
  </sheetData>
  <autoFilter ref="$A$1:$F$9">
    <sortState ref="A1:F9">
      <sortCondition descending="1" ref="B1:B9"/>
    </sortState>
  </autoFilter>
  <drawing r:id="rId1"/>
</worksheet>
</file>